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UNES\Desktop\PERSONAL PROJECT\"/>
    </mc:Choice>
  </mc:AlternateContent>
  <xr:revisionPtr revIDLastSave="0" documentId="13_ncr:1_{9F5BE6CC-93BA-4856-A802-DE33A8990DD9}" xr6:coauthVersionLast="47" xr6:coauthVersionMax="47" xr10:uidLastSave="{00000000-0000-0000-0000-000000000000}"/>
  <bookViews>
    <workbookView xWindow="-120" yWindow="-120" windowWidth="24240" windowHeight="13020" xr2:uid="{54A0ACD2-32DC-4794-8383-678426DB5ED8}"/>
  </bookViews>
  <sheets>
    <sheet name="Dashboard" sheetId="14" r:id="rId1"/>
    <sheet name="Avg Emp Satisfaction Per Year" sheetId="12" r:id="rId2"/>
    <sheet name="Average Salary Per Year" sheetId="11" r:id="rId3"/>
    <sheet name="Average Salary by Department" sheetId="10" r:id="rId4"/>
    <sheet name="Performance By Recruitment Sour" sheetId="8" r:id="rId5"/>
    <sheet name="Race Ratio by Department" sheetId="7" r:id="rId6"/>
    <sheet name="Gender Ratio by Department" sheetId="6" r:id="rId7"/>
    <sheet name="Top 15 Performing Managers" sheetId="5" r:id="rId8"/>
    <sheet name="Average Salary by Gender" sheetId="4" r:id="rId9"/>
    <sheet name="Average Salary by Race" sheetId="3" r:id="rId10"/>
    <sheet name="Top 10 Earners" sheetId="2" r:id="rId11"/>
    <sheet name="Data Analysis" sheetId="1" r:id="rId12"/>
  </sheets>
  <definedNames>
    <definedName name="Slicer_Department">#N/A</definedName>
    <definedName name="Slicer_Employment_Status">#N/A</definedName>
  </definedNames>
  <calcPr calcId="191029"/>
  <pivotCaches>
    <pivotCache cacheId="0" r:id="rId13"/>
  </pivotCaches>
  <extLst>
    <ext xmlns:x14="http://schemas.microsoft.com/office/spreadsheetml/2009/9/main" uri="{876F7934-8845-4945-9796-88D515C7AA90}">
      <x14:pivotCaches>
        <pivotCache cacheId="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12" i="1" l="1"/>
  <c r="L312" i="1"/>
  <c r="N311" i="1"/>
  <c r="L311" i="1"/>
  <c r="N310" i="1"/>
  <c r="L310" i="1"/>
  <c r="N309" i="1"/>
  <c r="L309" i="1"/>
  <c r="N308" i="1"/>
  <c r="L308" i="1"/>
  <c r="N307" i="1"/>
  <c r="L307" i="1"/>
  <c r="N306" i="1"/>
  <c r="L306" i="1"/>
  <c r="N305" i="1"/>
  <c r="L305" i="1"/>
  <c r="N304" i="1"/>
  <c r="L304" i="1"/>
  <c r="N303" i="1"/>
  <c r="L303" i="1"/>
  <c r="N302" i="1"/>
  <c r="L302" i="1"/>
  <c r="N301" i="1"/>
  <c r="L301" i="1"/>
  <c r="N300" i="1"/>
  <c r="L300" i="1"/>
  <c r="N299" i="1"/>
  <c r="L299" i="1"/>
  <c r="N298" i="1"/>
  <c r="L298" i="1"/>
  <c r="N297" i="1"/>
  <c r="L297" i="1"/>
  <c r="N296" i="1"/>
  <c r="L296" i="1"/>
  <c r="N295" i="1"/>
  <c r="L295" i="1"/>
  <c r="N294" i="1"/>
  <c r="L294" i="1"/>
  <c r="N293" i="1"/>
  <c r="L293" i="1"/>
  <c r="N292" i="1"/>
  <c r="L292" i="1"/>
  <c r="N291" i="1"/>
  <c r="L291" i="1"/>
  <c r="N290" i="1"/>
  <c r="L290" i="1"/>
  <c r="N289" i="1"/>
  <c r="L289" i="1"/>
  <c r="N288" i="1"/>
  <c r="L288" i="1"/>
  <c r="N287" i="1"/>
  <c r="L287" i="1"/>
  <c r="N286" i="1"/>
  <c r="L286" i="1"/>
  <c r="N285" i="1"/>
  <c r="L285" i="1"/>
  <c r="N284" i="1"/>
  <c r="L284" i="1"/>
  <c r="N283" i="1"/>
  <c r="L283" i="1"/>
  <c r="N282" i="1"/>
  <c r="L282" i="1"/>
  <c r="N281" i="1"/>
  <c r="L281" i="1"/>
  <c r="N280" i="1"/>
  <c r="L280" i="1"/>
  <c r="N279" i="1"/>
  <c r="L279" i="1"/>
  <c r="N278" i="1"/>
  <c r="L278" i="1"/>
  <c r="N277" i="1"/>
  <c r="L277" i="1"/>
  <c r="N276" i="1"/>
  <c r="L276" i="1"/>
  <c r="N275" i="1"/>
  <c r="L275" i="1"/>
  <c r="N274" i="1"/>
  <c r="L274" i="1"/>
  <c r="N273" i="1"/>
  <c r="L273" i="1"/>
  <c r="N272" i="1"/>
  <c r="L272" i="1"/>
  <c r="N271" i="1"/>
  <c r="L271" i="1"/>
  <c r="N270" i="1"/>
  <c r="L270" i="1"/>
  <c r="N269" i="1"/>
  <c r="L269" i="1"/>
  <c r="N268" i="1"/>
  <c r="L268" i="1"/>
  <c r="N267" i="1"/>
  <c r="L267" i="1"/>
  <c r="N266" i="1"/>
  <c r="L266" i="1"/>
  <c r="N265" i="1"/>
  <c r="L265" i="1"/>
  <c r="N264" i="1"/>
  <c r="L264" i="1"/>
  <c r="N263" i="1"/>
  <c r="L263" i="1"/>
  <c r="N262" i="1"/>
  <c r="L262" i="1"/>
  <c r="N261" i="1"/>
  <c r="L261" i="1"/>
  <c r="N260" i="1"/>
  <c r="L260" i="1"/>
  <c r="N259" i="1"/>
  <c r="L259" i="1"/>
  <c r="N258" i="1"/>
  <c r="L258" i="1"/>
  <c r="N257" i="1"/>
  <c r="L257" i="1"/>
  <c r="N256" i="1"/>
  <c r="L256" i="1"/>
  <c r="N255" i="1"/>
  <c r="L255" i="1"/>
  <c r="N254" i="1"/>
  <c r="L254" i="1"/>
  <c r="N253" i="1"/>
  <c r="L253" i="1"/>
  <c r="N252" i="1"/>
  <c r="L252" i="1"/>
  <c r="N251" i="1"/>
  <c r="L251" i="1"/>
  <c r="N250" i="1"/>
  <c r="L250" i="1"/>
  <c r="N249" i="1"/>
  <c r="L249" i="1"/>
  <c r="N248" i="1"/>
  <c r="L248" i="1"/>
  <c r="N247" i="1"/>
  <c r="L247" i="1"/>
  <c r="N246" i="1"/>
  <c r="L246" i="1"/>
  <c r="N245" i="1"/>
  <c r="L245" i="1"/>
  <c r="N244" i="1"/>
  <c r="L244" i="1"/>
  <c r="N243" i="1"/>
  <c r="L243" i="1"/>
  <c r="N242" i="1"/>
  <c r="L242" i="1"/>
  <c r="N241" i="1"/>
  <c r="L241" i="1"/>
  <c r="N240" i="1"/>
  <c r="L240" i="1"/>
  <c r="N239" i="1"/>
  <c r="L239" i="1"/>
  <c r="N238" i="1"/>
  <c r="L238" i="1"/>
  <c r="N237" i="1"/>
  <c r="L237" i="1"/>
  <c r="N236" i="1"/>
  <c r="L236" i="1"/>
  <c r="N235" i="1"/>
  <c r="L235" i="1"/>
  <c r="N234" i="1"/>
  <c r="L234" i="1"/>
  <c r="N233" i="1"/>
  <c r="L233" i="1"/>
  <c r="N232" i="1"/>
  <c r="L232" i="1"/>
  <c r="N231" i="1"/>
  <c r="L231" i="1"/>
  <c r="N230" i="1"/>
  <c r="L230" i="1"/>
  <c r="N229" i="1"/>
  <c r="L229" i="1"/>
  <c r="N228" i="1"/>
  <c r="L228" i="1"/>
  <c r="N227" i="1"/>
  <c r="L227" i="1"/>
  <c r="N226" i="1"/>
  <c r="L226" i="1"/>
  <c r="N225" i="1"/>
  <c r="L225" i="1"/>
  <c r="N224" i="1"/>
  <c r="L224" i="1"/>
  <c r="N223" i="1"/>
  <c r="L223" i="1"/>
  <c r="N222" i="1"/>
  <c r="L222" i="1"/>
  <c r="N221" i="1"/>
  <c r="L221" i="1"/>
  <c r="N220" i="1"/>
  <c r="L220" i="1"/>
  <c r="N219" i="1"/>
  <c r="L219" i="1"/>
  <c r="N218" i="1"/>
  <c r="L218" i="1"/>
  <c r="N217" i="1"/>
  <c r="L217" i="1"/>
  <c r="N216" i="1"/>
  <c r="L216" i="1"/>
  <c r="N215" i="1"/>
  <c r="L215" i="1"/>
  <c r="N214" i="1"/>
  <c r="L214" i="1"/>
  <c r="N213" i="1"/>
  <c r="L213" i="1"/>
  <c r="N212" i="1"/>
  <c r="L212" i="1"/>
  <c r="N211" i="1"/>
  <c r="L211" i="1"/>
  <c r="N210" i="1"/>
  <c r="L210" i="1"/>
  <c r="N209" i="1"/>
  <c r="L209" i="1"/>
  <c r="N208" i="1"/>
  <c r="L208" i="1"/>
  <c r="N207" i="1"/>
  <c r="L207" i="1"/>
  <c r="N206" i="1"/>
  <c r="L206" i="1"/>
  <c r="N205" i="1"/>
  <c r="L205" i="1"/>
  <c r="N204" i="1"/>
  <c r="L204" i="1"/>
  <c r="N203" i="1"/>
  <c r="L203" i="1"/>
  <c r="N202" i="1"/>
  <c r="L202" i="1"/>
  <c r="N201" i="1"/>
  <c r="L201" i="1"/>
  <c r="N200" i="1"/>
  <c r="L200" i="1"/>
  <c r="N199" i="1"/>
  <c r="L199" i="1"/>
  <c r="N198" i="1"/>
  <c r="L198" i="1"/>
  <c r="N197" i="1"/>
  <c r="L197" i="1"/>
  <c r="N196" i="1"/>
  <c r="L196" i="1"/>
  <c r="N195" i="1"/>
  <c r="L195" i="1"/>
  <c r="N194" i="1"/>
  <c r="L194" i="1"/>
  <c r="N193" i="1"/>
  <c r="L193" i="1"/>
  <c r="N192" i="1"/>
  <c r="L192" i="1"/>
  <c r="N191" i="1"/>
  <c r="L191" i="1"/>
  <c r="N190" i="1"/>
  <c r="L190" i="1"/>
  <c r="N189" i="1"/>
  <c r="L189" i="1"/>
  <c r="N188" i="1"/>
  <c r="L188" i="1"/>
  <c r="N187" i="1"/>
  <c r="L187" i="1"/>
  <c r="N186" i="1"/>
  <c r="L186" i="1"/>
  <c r="N185" i="1"/>
  <c r="L185" i="1"/>
  <c r="N184" i="1"/>
  <c r="L184" i="1"/>
  <c r="N183" i="1"/>
  <c r="L183" i="1"/>
  <c r="N182" i="1"/>
  <c r="L182" i="1"/>
  <c r="N181" i="1"/>
  <c r="L181" i="1"/>
  <c r="N180" i="1"/>
  <c r="L180" i="1"/>
  <c r="N179" i="1"/>
  <c r="L179" i="1"/>
  <c r="N178" i="1"/>
  <c r="L178" i="1"/>
  <c r="N177" i="1"/>
  <c r="L177" i="1"/>
  <c r="N176" i="1"/>
  <c r="L176" i="1"/>
  <c r="N175" i="1"/>
  <c r="L175" i="1"/>
  <c r="N174" i="1"/>
  <c r="L174" i="1"/>
  <c r="N173" i="1"/>
  <c r="L173" i="1"/>
  <c r="N172" i="1"/>
  <c r="L172" i="1"/>
  <c r="N171" i="1"/>
  <c r="L171" i="1"/>
  <c r="N170" i="1"/>
  <c r="L170" i="1"/>
  <c r="N169" i="1"/>
  <c r="L169" i="1"/>
  <c r="N168" i="1"/>
  <c r="L168" i="1"/>
  <c r="N167" i="1"/>
  <c r="L167" i="1"/>
  <c r="N166" i="1"/>
  <c r="L166" i="1"/>
  <c r="N165" i="1"/>
  <c r="L165" i="1"/>
  <c r="N164" i="1"/>
  <c r="L164" i="1"/>
  <c r="N163" i="1"/>
  <c r="L163" i="1"/>
  <c r="N162" i="1"/>
  <c r="L162" i="1"/>
  <c r="N161" i="1"/>
  <c r="L161" i="1"/>
  <c r="N160" i="1"/>
  <c r="L160" i="1"/>
  <c r="N159" i="1"/>
  <c r="L159" i="1"/>
  <c r="N158" i="1"/>
  <c r="L158" i="1"/>
  <c r="N157" i="1"/>
  <c r="L157" i="1"/>
  <c r="N156" i="1"/>
  <c r="L156" i="1"/>
  <c r="N155" i="1"/>
  <c r="L155" i="1"/>
  <c r="N154" i="1"/>
  <c r="L154" i="1"/>
  <c r="N153" i="1"/>
  <c r="L153" i="1"/>
  <c r="N152" i="1"/>
  <c r="L152" i="1"/>
  <c r="N151" i="1"/>
  <c r="L151" i="1"/>
  <c r="N150" i="1"/>
  <c r="L150" i="1"/>
  <c r="N149" i="1"/>
  <c r="L149" i="1"/>
  <c r="N148" i="1"/>
  <c r="L148" i="1"/>
  <c r="N147" i="1"/>
  <c r="L147" i="1"/>
  <c r="N146" i="1"/>
  <c r="L146" i="1"/>
  <c r="N145" i="1"/>
  <c r="L145" i="1"/>
  <c r="N144" i="1"/>
  <c r="L144" i="1"/>
  <c r="N143" i="1"/>
  <c r="L143" i="1"/>
  <c r="N142" i="1"/>
  <c r="L142" i="1"/>
  <c r="N141" i="1"/>
  <c r="L141" i="1"/>
  <c r="N140" i="1"/>
  <c r="L140" i="1"/>
  <c r="N139" i="1"/>
  <c r="L139" i="1"/>
  <c r="N138" i="1"/>
  <c r="L138" i="1"/>
  <c r="N137" i="1"/>
  <c r="L137" i="1"/>
  <c r="N136" i="1"/>
  <c r="L136" i="1"/>
  <c r="N135" i="1"/>
  <c r="L135" i="1"/>
  <c r="N134" i="1"/>
  <c r="L134" i="1"/>
  <c r="N133" i="1"/>
  <c r="L133" i="1"/>
  <c r="N132" i="1"/>
  <c r="L132" i="1"/>
  <c r="N131" i="1"/>
  <c r="L131" i="1"/>
  <c r="N130" i="1"/>
  <c r="L130" i="1"/>
  <c r="N129" i="1"/>
  <c r="L129" i="1"/>
  <c r="N128" i="1"/>
  <c r="L128" i="1"/>
  <c r="N127" i="1"/>
  <c r="L127" i="1"/>
  <c r="N126" i="1"/>
  <c r="L126" i="1"/>
  <c r="N125" i="1"/>
  <c r="L125" i="1"/>
  <c r="N124" i="1"/>
  <c r="L124" i="1"/>
  <c r="N123" i="1"/>
  <c r="L123" i="1"/>
  <c r="N122" i="1"/>
  <c r="L122" i="1"/>
  <c r="N121" i="1"/>
  <c r="L121" i="1"/>
  <c r="N120" i="1"/>
  <c r="L120" i="1"/>
  <c r="N119" i="1"/>
  <c r="L119" i="1"/>
  <c r="N118" i="1"/>
  <c r="L118" i="1"/>
  <c r="N117" i="1"/>
  <c r="L117" i="1"/>
  <c r="N116" i="1"/>
  <c r="L116" i="1"/>
  <c r="N115" i="1"/>
  <c r="L115" i="1"/>
  <c r="N114" i="1"/>
  <c r="L114" i="1"/>
  <c r="N113" i="1"/>
  <c r="L113" i="1"/>
  <c r="N112" i="1"/>
  <c r="L112" i="1"/>
  <c r="N111" i="1"/>
  <c r="L111" i="1"/>
  <c r="N110" i="1"/>
  <c r="L110" i="1"/>
  <c r="N109" i="1"/>
  <c r="L109" i="1"/>
  <c r="N108" i="1"/>
  <c r="L108" i="1"/>
  <c r="N107" i="1"/>
  <c r="L107" i="1"/>
  <c r="N106" i="1"/>
  <c r="L106" i="1"/>
  <c r="N105" i="1"/>
  <c r="L105" i="1"/>
  <c r="N104" i="1"/>
  <c r="L104" i="1"/>
  <c r="N103" i="1"/>
  <c r="L103" i="1"/>
  <c r="N102" i="1"/>
  <c r="L102" i="1"/>
  <c r="N101" i="1"/>
  <c r="L101" i="1"/>
  <c r="N100" i="1"/>
  <c r="L100" i="1"/>
  <c r="N99" i="1"/>
  <c r="L99" i="1"/>
  <c r="N98" i="1"/>
  <c r="L98" i="1"/>
  <c r="N97" i="1"/>
  <c r="L97" i="1"/>
  <c r="N96" i="1"/>
  <c r="L96" i="1"/>
  <c r="N95" i="1"/>
  <c r="L95" i="1"/>
  <c r="N94" i="1"/>
  <c r="L94" i="1"/>
  <c r="N93" i="1"/>
  <c r="L93" i="1"/>
  <c r="N92" i="1"/>
  <c r="L92" i="1"/>
  <c r="N91" i="1"/>
  <c r="L91" i="1"/>
  <c r="N90" i="1"/>
  <c r="L90" i="1"/>
  <c r="N89" i="1"/>
  <c r="L89" i="1"/>
  <c r="N88" i="1"/>
  <c r="L88" i="1"/>
  <c r="N87" i="1"/>
  <c r="L87" i="1"/>
  <c r="N86" i="1"/>
  <c r="L86" i="1"/>
  <c r="N85" i="1"/>
  <c r="L85" i="1"/>
  <c r="N84" i="1"/>
  <c r="L84" i="1"/>
  <c r="N83" i="1"/>
  <c r="L83" i="1"/>
  <c r="N82" i="1"/>
  <c r="L82" i="1"/>
  <c r="N81" i="1"/>
  <c r="L81" i="1"/>
  <c r="N80" i="1"/>
  <c r="L80" i="1"/>
  <c r="N79" i="1"/>
  <c r="L79" i="1"/>
  <c r="N78" i="1"/>
  <c r="L78" i="1"/>
  <c r="N77" i="1"/>
  <c r="L77" i="1"/>
  <c r="N76" i="1"/>
  <c r="L76" i="1"/>
  <c r="N75" i="1"/>
  <c r="L75" i="1"/>
  <c r="N74" i="1"/>
  <c r="L74" i="1"/>
  <c r="N73" i="1"/>
  <c r="L73" i="1"/>
  <c r="N72" i="1"/>
  <c r="L72" i="1"/>
  <c r="N71" i="1"/>
  <c r="L71" i="1"/>
  <c r="N70" i="1"/>
  <c r="L70" i="1"/>
  <c r="N69" i="1"/>
  <c r="L69" i="1"/>
  <c r="N68" i="1"/>
  <c r="L68" i="1"/>
  <c r="N67" i="1"/>
  <c r="L67" i="1"/>
  <c r="N66" i="1"/>
  <c r="L66" i="1"/>
  <c r="N65" i="1"/>
  <c r="L65" i="1"/>
  <c r="N64" i="1"/>
  <c r="L64" i="1"/>
  <c r="N63" i="1"/>
  <c r="L63" i="1"/>
  <c r="N62" i="1"/>
  <c r="L62" i="1"/>
  <c r="N61" i="1"/>
  <c r="L61" i="1"/>
  <c r="N60" i="1"/>
  <c r="L60" i="1"/>
  <c r="N59" i="1"/>
  <c r="L59" i="1"/>
  <c r="N58" i="1"/>
  <c r="L58" i="1"/>
  <c r="N57" i="1"/>
  <c r="L57" i="1"/>
  <c r="N56" i="1"/>
  <c r="L56" i="1"/>
  <c r="N55" i="1"/>
  <c r="L55" i="1"/>
  <c r="N54" i="1"/>
  <c r="L54" i="1"/>
  <c r="N53" i="1"/>
  <c r="L53" i="1"/>
  <c r="N52" i="1"/>
  <c r="L52" i="1"/>
  <c r="N51" i="1"/>
  <c r="L51" i="1"/>
  <c r="N50" i="1"/>
  <c r="L50" i="1"/>
  <c r="N49" i="1"/>
  <c r="L49" i="1"/>
  <c r="N48" i="1"/>
  <c r="L48" i="1"/>
  <c r="N47" i="1"/>
  <c r="L47" i="1"/>
  <c r="N46" i="1"/>
  <c r="L46" i="1"/>
  <c r="N45" i="1"/>
  <c r="L45" i="1"/>
  <c r="N44" i="1"/>
  <c r="L44" i="1"/>
  <c r="N43" i="1"/>
  <c r="L43" i="1"/>
  <c r="N42" i="1"/>
  <c r="L42" i="1"/>
  <c r="N41" i="1"/>
  <c r="L41" i="1"/>
  <c r="N40" i="1"/>
  <c r="L40" i="1"/>
  <c r="N39" i="1"/>
  <c r="L39" i="1"/>
  <c r="N38" i="1"/>
  <c r="L38" i="1"/>
  <c r="N37" i="1"/>
  <c r="L37" i="1"/>
  <c r="N36" i="1"/>
  <c r="L36" i="1"/>
  <c r="N35" i="1"/>
  <c r="L35" i="1"/>
  <c r="N34" i="1"/>
  <c r="L34" i="1"/>
  <c r="N33" i="1"/>
  <c r="L33" i="1"/>
  <c r="N32" i="1"/>
  <c r="L32" i="1"/>
  <c r="N31" i="1"/>
  <c r="L31" i="1"/>
  <c r="N30" i="1"/>
  <c r="L30" i="1"/>
  <c r="N29" i="1"/>
  <c r="L29" i="1"/>
  <c r="N28" i="1"/>
  <c r="L28" i="1"/>
  <c r="N27" i="1"/>
  <c r="L27" i="1"/>
  <c r="N26" i="1"/>
  <c r="L26" i="1"/>
  <c r="N25" i="1"/>
  <c r="L25" i="1"/>
  <c r="N24" i="1"/>
  <c r="L24" i="1"/>
  <c r="N23" i="1"/>
  <c r="L23" i="1"/>
  <c r="N22" i="1"/>
  <c r="L22" i="1"/>
  <c r="N21" i="1"/>
  <c r="L21" i="1"/>
  <c r="N20" i="1"/>
  <c r="L20" i="1"/>
  <c r="N19" i="1"/>
  <c r="L19" i="1"/>
  <c r="N18" i="1"/>
  <c r="L18" i="1"/>
  <c r="N17" i="1"/>
  <c r="L17" i="1"/>
  <c r="N16" i="1"/>
  <c r="L16" i="1"/>
  <c r="N15" i="1"/>
  <c r="L15" i="1"/>
  <c r="N14" i="1"/>
  <c r="L14" i="1"/>
  <c r="N13" i="1"/>
  <c r="L13" i="1"/>
  <c r="N12" i="1"/>
  <c r="L12" i="1"/>
  <c r="N11" i="1"/>
  <c r="L11" i="1"/>
  <c r="N10" i="1"/>
  <c r="L10" i="1"/>
  <c r="N9" i="1"/>
  <c r="L9" i="1"/>
  <c r="N8" i="1"/>
  <c r="L8" i="1"/>
  <c r="N7" i="1"/>
  <c r="L7" i="1"/>
  <c r="N6" i="1"/>
  <c r="L6" i="1"/>
  <c r="N5" i="1"/>
  <c r="L5" i="1"/>
  <c r="N4" i="1"/>
  <c r="L4" i="1"/>
  <c r="N3" i="1"/>
  <c r="L3" i="1"/>
  <c r="N2" i="1"/>
  <c r="L2" i="1"/>
</calcChain>
</file>

<file path=xl/sharedStrings.xml><?xml version="1.0" encoding="utf-8"?>
<sst xmlns="http://schemas.openxmlformats.org/spreadsheetml/2006/main" count="3882" uniqueCount="502">
  <si>
    <t xml:space="preserve">                        </t>
  </si>
  <si>
    <t>Fully Meets</t>
  </si>
  <si>
    <t>LinkedIn</t>
  </si>
  <si>
    <t>David Stanley</t>
  </si>
  <si>
    <t xml:space="preserve">Production       </t>
  </si>
  <si>
    <t>Active</t>
  </si>
  <si>
    <t>N/A-StillEmployed</t>
  </si>
  <si>
    <t>Asian</t>
  </si>
  <si>
    <t>Widowed</t>
  </si>
  <si>
    <t>F</t>
  </si>
  <si>
    <t>MA</t>
  </si>
  <si>
    <t>Production Technician I</t>
  </si>
  <si>
    <t>Zima, Colleen</t>
  </si>
  <si>
    <t>Employee Referral</t>
  </si>
  <si>
    <t>Simon Roup</t>
  </si>
  <si>
    <t>IT/IS</t>
  </si>
  <si>
    <t>White</t>
  </si>
  <si>
    <t>Single</t>
  </si>
  <si>
    <t>Data Analyst</t>
  </si>
  <si>
    <t>Zhou, Julia</t>
  </si>
  <si>
    <t>Exceeds</t>
  </si>
  <si>
    <t>Janet King</t>
  </si>
  <si>
    <t>CIO</t>
  </si>
  <si>
    <t>Zamora, Jennifer</t>
  </si>
  <si>
    <t>PIP</t>
  </si>
  <si>
    <t>Google Search</t>
  </si>
  <si>
    <t>Brannon Miller</t>
  </si>
  <si>
    <t>Voluntarily Terminated</t>
  </si>
  <si>
    <t>Another position</t>
  </si>
  <si>
    <t xml:space="preserve">Ybarra, Catherine </t>
  </si>
  <si>
    <t>Kissy Sullivan</t>
  </si>
  <si>
    <t xml:space="preserve">M </t>
  </si>
  <si>
    <t>Production Technician II</t>
  </si>
  <si>
    <t>Woodson, Jason</t>
  </si>
  <si>
    <t>Wolk, Hang  T</t>
  </si>
  <si>
    <t>retiring</t>
  </si>
  <si>
    <t xml:space="preserve">Winthrop, Jordan  </t>
  </si>
  <si>
    <t>Diversity Job Fair</t>
  </si>
  <si>
    <t>Ketsia Liebig</t>
  </si>
  <si>
    <t>relocation out of area</t>
  </si>
  <si>
    <t>Black or African American</t>
  </si>
  <si>
    <t xml:space="preserve">Williams, Jacquelyn  </t>
  </si>
  <si>
    <t>Divorced</t>
  </si>
  <si>
    <t>Wilkes, Annie</t>
  </si>
  <si>
    <t>Website</t>
  </si>
  <si>
    <t>Amy Dunn</t>
  </si>
  <si>
    <t>unhappy</t>
  </si>
  <si>
    <t>Married</t>
  </si>
  <si>
    <t>Wilber, Barry</t>
  </si>
  <si>
    <t>Webster Butler</t>
  </si>
  <si>
    <t>hours</t>
  </si>
  <si>
    <t>Whittier, Scott</t>
  </si>
  <si>
    <t>Peter Monroe</t>
  </si>
  <si>
    <t>Sr. Network Engineer</t>
  </si>
  <si>
    <t>Warfield, Sarah</t>
  </si>
  <si>
    <t>Indeed</t>
  </si>
  <si>
    <t>Brian Champaigne</t>
  </si>
  <si>
    <t>Senior BI Developer</t>
  </si>
  <si>
    <t>Wang, Charlie</t>
  </si>
  <si>
    <t>Needs Improvement</t>
  </si>
  <si>
    <t>CareerBuilder</t>
  </si>
  <si>
    <t>Elijiah Gray</t>
  </si>
  <si>
    <t>career change</t>
  </si>
  <si>
    <t>Wallace, Theresa</t>
  </si>
  <si>
    <t>Production Manager</t>
  </si>
  <si>
    <t>Wallace, Courtney  E</t>
  </si>
  <si>
    <t>Walker, Roger</t>
  </si>
  <si>
    <t>Michael Albert</t>
  </si>
  <si>
    <t>Von Massenbach, Anna</t>
  </si>
  <si>
    <t>Kelley Spirea</t>
  </si>
  <si>
    <t>Terminated for Cause</t>
  </si>
  <si>
    <t>gross misconduct</t>
  </si>
  <si>
    <t>Volk, Colleen</t>
  </si>
  <si>
    <t>no-call, no-show</t>
  </si>
  <si>
    <t>Database Administrator</t>
  </si>
  <si>
    <t>Voldemort, Lord</t>
  </si>
  <si>
    <t>John Smith</t>
  </si>
  <si>
    <t>Sales</t>
  </si>
  <si>
    <t>ME</t>
  </si>
  <si>
    <t>Area Sales Manager</t>
  </si>
  <si>
    <t>Villanueva, Noah</t>
  </si>
  <si>
    <t>Vega, Vincent</t>
  </si>
  <si>
    <t>maternity leave - did not return</t>
  </si>
  <si>
    <t xml:space="preserve">Veera, Abdellah </t>
  </si>
  <si>
    <t>Two or more races</t>
  </si>
  <si>
    <t>AZ</t>
  </si>
  <si>
    <t>Valentin,Jackie</t>
  </si>
  <si>
    <t>Network Engineer</t>
  </si>
  <si>
    <t>Turpin, Jumil</t>
  </si>
  <si>
    <t>Trzeciak, Cybil</t>
  </si>
  <si>
    <t>Alex Sweetwater</t>
  </si>
  <si>
    <t>Software Engineering</t>
  </si>
  <si>
    <t>medical issues</t>
  </si>
  <si>
    <t>Software Engineer</t>
  </si>
  <si>
    <t>True, Edward</t>
  </si>
  <si>
    <t xml:space="preserve">Tredinnick, Neville </t>
  </si>
  <si>
    <t>Trang, Mei</t>
  </si>
  <si>
    <t>Lynn Daneault</t>
  </si>
  <si>
    <t>Separated</t>
  </si>
  <si>
    <t>ND</t>
  </si>
  <si>
    <t>Torrence, Jack</t>
  </si>
  <si>
    <t>Tippett, Jeanette</t>
  </si>
  <si>
    <t>Other</t>
  </si>
  <si>
    <t>military</t>
  </si>
  <si>
    <t>Thibaud, Kenneth</t>
  </si>
  <si>
    <t>return to school</t>
  </si>
  <si>
    <t>Theamstern, Sophia</t>
  </si>
  <si>
    <t>OR</t>
  </si>
  <si>
    <t xml:space="preserve">Terry, Sharlene </t>
  </si>
  <si>
    <t xml:space="preserve">Tejeda, Lenora </t>
  </si>
  <si>
    <t xml:space="preserve">Tavares, Desiree  </t>
  </si>
  <si>
    <t>BI Developer</t>
  </si>
  <si>
    <t>Tannen, Biff</t>
  </si>
  <si>
    <t>Szabo, Andrew</t>
  </si>
  <si>
    <t>Sutwell, Barbara</t>
  </si>
  <si>
    <t>Sullivan, Timothy</t>
  </si>
  <si>
    <t xml:space="preserve">Sullivan, Kissy </t>
  </si>
  <si>
    <t>MT</t>
  </si>
  <si>
    <t>Strong, Caitrin</t>
  </si>
  <si>
    <t>Stoica, Rick</t>
  </si>
  <si>
    <t>Brandon R. LeBlanc</t>
  </si>
  <si>
    <t>Admin Offices</t>
  </si>
  <si>
    <t>Accountant I</t>
  </si>
  <si>
    <t xml:space="preserve">Steans, Tyrone  </t>
  </si>
  <si>
    <t>NV</t>
  </si>
  <si>
    <t>Stansfield, Norman</t>
  </si>
  <si>
    <t>Stanford,Barbara  M</t>
  </si>
  <si>
    <t>Squatrito, Kristen</t>
  </si>
  <si>
    <t>Spirea, Kelley</t>
  </si>
  <si>
    <t xml:space="preserve">Sparks, Taylor  </t>
  </si>
  <si>
    <t>Soze, Keyser</t>
  </si>
  <si>
    <t>Eric Dougall</t>
  </si>
  <si>
    <t>IT Support</t>
  </si>
  <si>
    <t xml:space="preserve">Soto, Julia </t>
  </si>
  <si>
    <t>Smith, Sade</t>
  </si>
  <si>
    <t>Administrative Assistant</t>
  </si>
  <si>
    <t>Smith, Leigh Ann</t>
  </si>
  <si>
    <t>Debra Houlihan</t>
  </si>
  <si>
    <t>Sales Manager</t>
  </si>
  <si>
    <t>Smith, John</t>
  </si>
  <si>
    <t>Smith, Joe</t>
  </si>
  <si>
    <t>Sloan, Constance</t>
  </si>
  <si>
    <t xml:space="preserve">Singh, Nan </t>
  </si>
  <si>
    <t>Simard, Kramer</t>
  </si>
  <si>
    <t>Shields, Seffi</t>
  </si>
  <si>
    <t xml:space="preserve">Shepard, Anita </t>
  </si>
  <si>
    <t>Sewkumar, Nori</t>
  </si>
  <si>
    <t>Sander, Kamrin</t>
  </si>
  <si>
    <t xml:space="preserve">Data Analyst </t>
  </si>
  <si>
    <t>Salter, Jason</t>
  </si>
  <si>
    <t>Sahoo, Adil</t>
  </si>
  <si>
    <t xml:space="preserve">Sadki, Nore  </t>
  </si>
  <si>
    <t>Saar-Beckles, Melinda</t>
  </si>
  <si>
    <t>Saada, Adell</t>
  </si>
  <si>
    <t>Jennifer Zamora</t>
  </si>
  <si>
    <t>IT Manager - DB</t>
  </si>
  <si>
    <t>Ruiz, Ricardo</t>
  </si>
  <si>
    <t>Roup,Simon</t>
  </si>
  <si>
    <t>Rossetti, Bruno</t>
  </si>
  <si>
    <t xml:space="preserve">Rose, Ashley  </t>
  </si>
  <si>
    <t>Data Architect</t>
  </si>
  <si>
    <t>Roper, Katie</t>
  </si>
  <si>
    <t>Principal Data Architect</t>
  </si>
  <si>
    <t>Roehrich, Bianca</t>
  </si>
  <si>
    <t xml:space="preserve">Roby, Lori </t>
  </si>
  <si>
    <t>Robinson, Elias</t>
  </si>
  <si>
    <t>attendance</t>
  </si>
  <si>
    <t>Robinson, Cherly</t>
  </si>
  <si>
    <t xml:space="preserve">Robinson, Alain  </t>
  </si>
  <si>
    <t>Robertson, Peter</t>
  </si>
  <si>
    <t>Roberson, May</t>
  </si>
  <si>
    <t xml:space="preserve">Rivera, Haley  </t>
  </si>
  <si>
    <t>Rhoads, Thomas</t>
  </si>
  <si>
    <t>ID</t>
  </si>
  <si>
    <t>Ren, Kylo</t>
  </si>
  <si>
    <t>more money</t>
  </si>
  <si>
    <t>Rarrick, Quinn</t>
  </si>
  <si>
    <t>Rachael, Maggie</t>
  </si>
  <si>
    <t>Quinn, Sean</t>
  </si>
  <si>
    <t>Purinton, Janine</t>
  </si>
  <si>
    <t xml:space="preserve">Punjabhi, Louis  </t>
  </si>
  <si>
    <t>Power, Morissa</t>
  </si>
  <si>
    <t>KY</t>
  </si>
  <si>
    <t>Potts, Xana</t>
  </si>
  <si>
    <t xml:space="preserve">Pitt, Brad </t>
  </si>
  <si>
    <t>Pham, Hong</t>
  </si>
  <si>
    <t>Petrowsky, Thelma</t>
  </si>
  <si>
    <t xml:space="preserve">Petingill, Shana  </t>
  </si>
  <si>
    <t xml:space="preserve">Peterson, Ebonee  </t>
  </si>
  <si>
    <t>Peters, Lauren</t>
  </si>
  <si>
    <t>Perry, Shakira</t>
  </si>
  <si>
    <t>Pelletier, Ermine</t>
  </si>
  <si>
    <t>Smith, Martin</t>
  </si>
  <si>
    <t>performance</t>
  </si>
  <si>
    <t>Pearson, Randall</t>
  </si>
  <si>
    <t>Patronick, Lucas</t>
  </si>
  <si>
    <t>Panjwani, Nina</t>
  </si>
  <si>
    <t>NC</t>
  </si>
  <si>
    <t>Ozark, Travis</t>
  </si>
  <si>
    <t>Owad, Clinton</t>
  </si>
  <si>
    <t>Osturnka, Adeel</t>
  </si>
  <si>
    <t>FL</t>
  </si>
  <si>
    <t>Onque, Jasmine</t>
  </si>
  <si>
    <t xml:space="preserve">Oliver, Brooke </t>
  </si>
  <si>
    <t>O'hare, Lynn</t>
  </si>
  <si>
    <t>Nowlan, Kristie</t>
  </si>
  <si>
    <t>Nguyen, Lei-Ming</t>
  </si>
  <si>
    <t>GA</t>
  </si>
  <si>
    <t>Nguyen, Dheepa</t>
  </si>
  <si>
    <t xml:space="preserve">Ngodup, Shari </t>
  </si>
  <si>
    <t xml:space="preserve">Newman, Richard </t>
  </si>
  <si>
    <t>Ndzi, Horia</t>
  </si>
  <si>
    <t>Ndzi, Colombui</t>
  </si>
  <si>
    <t>Navathe, Kurt</t>
  </si>
  <si>
    <t>Myers, Michael</t>
  </si>
  <si>
    <t xml:space="preserve">Moumanil, Maliki </t>
  </si>
  <si>
    <t>Motlagh,  Dawn</t>
  </si>
  <si>
    <t>Morway, Tanya</t>
  </si>
  <si>
    <t>Moran, Patrick</t>
  </si>
  <si>
    <t>Monterro, Luisa</t>
  </si>
  <si>
    <t>IT Manager - Infra</t>
  </si>
  <si>
    <t>Monroe, Peter</t>
  </si>
  <si>
    <t>Monkfish, Erasumus</t>
  </si>
  <si>
    <t>Miller, Ned</t>
  </si>
  <si>
    <t>Hispanic</t>
  </si>
  <si>
    <t>Miller, Brannon</t>
  </si>
  <si>
    <t>Medeiros, Jennifer</t>
  </si>
  <si>
    <t>Meads, Elizabeth</t>
  </si>
  <si>
    <t>TX</t>
  </si>
  <si>
    <t>McKinzie, Jac</t>
  </si>
  <si>
    <t>Mckenna, Sandy</t>
  </si>
  <si>
    <t>Carthy, B'rigit</t>
  </si>
  <si>
    <t>Maurice, Shana</t>
  </si>
  <si>
    <t>Martin, Sandra</t>
  </si>
  <si>
    <t>Mangal, Debbie</t>
  </si>
  <si>
    <t>Mancuso, Karen</t>
  </si>
  <si>
    <t>Manchester, Robyn</t>
  </si>
  <si>
    <t xml:space="preserve">Mahoney, Lauren  </t>
  </si>
  <si>
    <t>MacLennan, Samuel</t>
  </si>
  <si>
    <t>Lynch, Lindsay</t>
  </si>
  <si>
    <t>Lydon, Allison</t>
  </si>
  <si>
    <t>Lunquist, Lisa</t>
  </si>
  <si>
    <t>Lundy, Susan</t>
  </si>
  <si>
    <t>CT</t>
  </si>
  <si>
    <t xml:space="preserve">Lindsay, Leonara </t>
  </si>
  <si>
    <t>Linden, Mathew</t>
  </si>
  <si>
    <t xml:space="preserve">Linares, Marilyn </t>
  </si>
  <si>
    <t>Liebig, Ketsia</t>
  </si>
  <si>
    <t>UT</t>
  </si>
  <si>
    <t>Leruth, Giovanni</t>
  </si>
  <si>
    <t>Lecter, Hannibal</t>
  </si>
  <si>
    <t>Shared Services Manager</t>
  </si>
  <si>
    <t>LeBlanc, Brandon  R</t>
  </si>
  <si>
    <t>Leach, Dallas</t>
  </si>
  <si>
    <t>Le, Binh</t>
  </si>
  <si>
    <t>Latif, Mohammed</t>
  </si>
  <si>
    <t xml:space="preserve">LaRotonda, William  </t>
  </si>
  <si>
    <t>Langton, Enrico</t>
  </si>
  <si>
    <t>Langford, Lindsey</t>
  </si>
  <si>
    <t>Landa, Hans</t>
  </si>
  <si>
    <t>Lajiri,  Jyoti</t>
  </si>
  <si>
    <t>NY</t>
  </si>
  <si>
    <t>Kreuger, Freddy</t>
  </si>
  <si>
    <t>Kretschmer, John</t>
  </si>
  <si>
    <t>Knapp, Bradley  J</t>
  </si>
  <si>
    <t xml:space="preserve">Kirill, Alexandra  </t>
  </si>
  <si>
    <t xml:space="preserve">Kinsella, Kathleen  </t>
  </si>
  <si>
    <t>Board of Directors</t>
  </si>
  <si>
    <t>Executive Office</t>
  </si>
  <si>
    <t>President &amp; CEO</t>
  </si>
  <si>
    <t>King, Janet</t>
  </si>
  <si>
    <t>CO</t>
  </si>
  <si>
    <t>Khemmich, Bartholemew</t>
  </si>
  <si>
    <t xml:space="preserve">Keatts, Kramer </t>
  </si>
  <si>
    <t>PA</t>
  </si>
  <si>
    <t>Kampew, Donysha</t>
  </si>
  <si>
    <t xml:space="preserve">Jung, Judy  </t>
  </si>
  <si>
    <t>Johnston, Yen</t>
  </si>
  <si>
    <t xml:space="preserve">Johnson, Noelle </t>
  </si>
  <si>
    <t>Johnson, George</t>
  </si>
  <si>
    <t xml:space="preserve">Jhaveri, Sneha  </t>
  </si>
  <si>
    <t>American Indian or Alaska Native</t>
  </si>
  <si>
    <t>Jeannite, Tayana</t>
  </si>
  <si>
    <t xml:space="preserve">Jacobi, Hannah  </t>
  </si>
  <si>
    <t>Jackson, Maryellen</t>
  </si>
  <si>
    <t xml:space="preserve">Ivey, Rose </t>
  </si>
  <si>
    <t>Immediato, Walter</t>
  </si>
  <si>
    <t>Huynh, Ming</t>
  </si>
  <si>
    <t>Hutter, Rosalie</t>
  </si>
  <si>
    <t>Hunts, Julissa</t>
  </si>
  <si>
    <t>Hudson, Jane</t>
  </si>
  <si>
    <t>Howard, Estelle</t>
  </si>
  <si>
    <t>RI</t>
  </si>
  <si>
    <t>Director of Sales</t>
  </si>
  <si>
    <t>Houlihan, Debra</t>
  </si>
  <si>
    <t>Horton, Jayne</t>
  </si>
  <si>
    <t>Homberger, Adrienne  J</t>
  </si>
  <si>
    <t>NH</t>
  </si>
  <si>
    <t>Hitchcock, Alfred</t>
  </si>
  <si>
    <t>Hendrickson, Trina</t>
  </si>
  <si>
    <t>Heitzman, Anthony</t>
  </si>
  <si>
    <t>Harrison, Kara</t>
  </si>
  <si>
    <t xml:space="preserve">Harrington, Christie </t>
  </si>
  <si>
    <t>Hankard, Earnest</t>
  </si>
  <si>
    <t>Handschiegl, Joanne</t>
  </si>
  <si>
    <t>TN</t>
  </si>
  <si>
    <t>Guilianno, Mike</t>
  </si>
  <si>
    <t>Gruber, Hans</t>
  </si>
  <si>
    <t>Gross, Paula</t>
  </si>
  <si>
    <t xml:space="preserve">Gray, Elijiah  </t>
  </si>
  <si>
    <t>Goyal, Roxana</t>
  </si>
  <si>
    <t xml:space="preserve">Gosciminski, Phylicia  </t>
  </si>
  <si>
    <t>Gordon, David</t>
  </si>
  <si>
    <t>Good, Susan</t>
  </si>
  <si>
    <t>Gonzalez, Maria</t>
  </si>
  <si>
    <t>Gonzalez, Juan</t>
  </si>
  <si>
    <t>Gonzalez, Cayo</t>
  </si>
  <si>
    <t xml:space="preserve">Gold, Shenice  </t>
  </si>
  <si>
    <t>Goeth, Amon</t>
  </si>
  <si>
    <t>Goble, Taisha</t>
  </si>
  <si>
    <t>IN</t>
  </si>
  <si>
    <t>Givens, Myriam</t>
  </si>
  <si>
    <t>Girifalco, Evelyn</t>
  </si>
  <si>
    <t>Gilles, Alex</t>
  </si>
  <si>
    <t>OH</t>
  </si>
  <si>
    <t xml:space="preserve">Gill, Whitney  </t>
  </si>
  <si>
    <t>Gerke, Melisa</t>
  </si>
  <si>
    <t>Gentry, Mildred</t>
  </si>
  <si>
    <t>Gaul, Barbara</t>
  </si>
  <si>
    <t>Garcia, Raul</t>
  </si>
  <si>
    <t>Galia, Lisa</t>
  </si>
  <si>
    <t xml:space="preserve">Fraval, Maruk </t>
  </si>
  <si>
    <t>Sr. Accountant</t>
  </si>
  <si>
    <t>Foster-Baker, Amy</t>
  </si>
  <si>
    <t>IT Director</t>
  </si>
  <si>
    <t>Foss, Jason</t>
  </si>
  <si>
    <t>Fatal attraction</t>
  </si>
  <si>
    <t>Forrest, Alex</t>
  </si>
  <si>
    <t>Foreman, Tanya</t>
  </si>
  <si>
    <t>Fitzpatrick, Michael  J</t>
  </si>
  <si>
    <t>Fidelia,  Libby</t>
  </si>
  <si>
    <t>Fett, Boba</t>
  </si>
  <si>
    <t xml:space="preserve">Fernandes, Nilson  </t>
  </si>
  <si>
    <t>Ferguson, Susan</t>
  </si>
  <si>
    <t>Fancett, Nicole</t>
  </si>
  <si>
    <t xml:space="preserve">Faller, Megan </t>
  </si>
  <si>
    <t>Exantus, Susan</t>
  </si>
  <si>
    <t>Evensen, April</t>
  </si>
  <si>
    <t>Estremera, Miguel</t>
  </si>
  <si>
    <t>Erilus, Angela</t>
  </si>
  <si>
    <t>England, Rex</t>
  </si>
  <si>
    <t>Engdahl, Jean</t>
  </si>
  <si>
    <t>Eaton, Marianne</t>
  </si>
  <si>
    <t>Dunne, Amy</t>
  </si>
  <si>
    <t xml:space="preserve">Dunn, Amy  </t>
  </si>
  <si>
    <t>CA</t>
  </si>
  <si>
    <t>Driver, Elle</t>
  </si>
  <si>
    <t>IT Manager - Support</t>
  </si>
  <si>
    <t>Dougall, Eric</t>
  </si>
  <si>
    <t>Dolan, Linda</t>
  </si>
  <si>
    <t>Dobrin, Denisa  S</t>
  </si>
  <si>
    <t xml:space="preserve">DiNocco, Lily </t>
  </si>
  <si>
    <t>WA</t>
  </si>
  <si>
    <t xml:space="preserve">Dietrich, Jenna  </t>
  </si>
  <si>
    <t xml:space="preserve">Dickinson, Geoff </t>
  </si>
  <si>
    <t>DeVito, Tommy</t>
  </si>
  <si>
    <t xml:space="preserve">Desimone, Carl </t>
  </si>
  <si>
    <t>Demita, Carla</t>
  </si>
  <si>
    <t>AL</t>
  </si>
  <si>
    <t>Delarge, Alex</t>
  </si>
  <si>
    <t>Del Bosque, Keyla</t>
  </si>
  <si>
    <t>DeGweck,  James</t>
  </si>
  <si>
    <t>Dee, Randy</t>
  </si>
  <si>
    <t>Davis, Daniel</t>
  </si>
  <si>
    <t xml:space="preserve">Darson, Jene'ya </t>
  </si>
  <si>
    <t xml:space="preserve">Daniele, Ann  </t>
  </si>
  <si>
    <t>VT</t>
  </si>
  <si>
    <t>Daneault, Lynn</t>
  </si>
  <si>
    <t>Cross, Noah</t>
  </si>
  <si>
    <t>Crimmings,   Jean</t>
  </si>
  <si>
    <t>Costello, Frank</t>
  </si>
  <si>
    <t xml:space="preserve">Cornett, Lisa </t>
  </si>
  <si>
    <t>Director of Operations</t>
  </si>
  <si>
    <t>Corleone, Vito</t>
  </si>
  <si>
    <t>Corleone, Michael</t>
  </si>
  <si>
    <t>Cole, Spencer</t>
  </si>
  <si>
    <t>Cockel, James</t>
  </si>
  <si>
    <t>Clukey, Elijian</t>
  </si>
  <si>
    <t>Close, Phil</t>
  </si>
  <si>
    <t>Cloninger, Jennifer</t>
  </si>
  <si>
    <t>Clayton, Rick</t>
  </si>
  <si>
    <t xml:space="preserve">Cierpiszewski, Caroline  </t>
  </si>
  <si>
    <t>Chivukula, Enola</t>
  </si>
  <si>
    <t>Chigurh, Anton</t>
  </si>
  <si>
    <t>Chang, Donovan  E</t>
  </si>
  <si>
    <t>Chan, Lin</t>
  </si>
  <si>
    <t>BI Director</t>
  </si>
  <si>
    <t>Champaigne, Brian</t>
  </si>
  <si>
    <t xml:space="preserve">Chace, Beatrice </t>
  </si>
  <si>
    <t xml:space="preserve">Carter, Michelle </t>
  </si>
  <si>
    <t>Sr. DBA</t>
  </si>
  <si>
    <t>Carr, Claudia  N</t>
  </si>
  <si>
    <t xml:space="preserve">Carey, Michael  </t>
  </si>
  <si>
    <t>Carabbio, Judith</t>
  </si>
  <si>
    <t>Candie, Calvin</t>
  </si>
  <si>
    <t>Software Engineering Manager</t>
  </si>
  <si>
    <t xml:space="preserve">Cady, Max </t>
  </si>
  <si>
    <t xml:space="preserve">Burkett, Benjamin </t>
  </si>
  <si>
    <t>Burke, Joelle</t>
  </si>
  <si>
    <t>VA</t>
  </si>
  <si>
    <t>Bunbury, Jessica</t>
  </si>
  <si>
    <t xml:space="preserve">Bugali, Josephine </t>
  </si>
  <si>
    <t xml:space="preserve">Buccheri, Joseph  </t>
  </si>
  <si>
    <t>Brown, Mia</t>
  </si>
  <si>
    <t>Brill, Donna</t>
  </si>
  <si>
    <t>Bozzi, Charles</t>
  </si>
  <si>
    <t>Boutwell, Bonalyn</t>
  </si>
  <si>
    <t>Learned that he is a gangster</t>
  </si>
  <si>
    <t>Enterprise Architect</t>
  </si>
  <si>
    <t>Booth, Frank</t>
  </si>
  <si>
    <t>Bondwell, Betsy</t>
  </si>
  <si>
    <t>Blount, Dianna</t>
  </si>
  <si>
    <t>Billis, Helen</t>
  </si>
  <si>
    <t>Biden, Lowan  M</t>
  </si>
  <si>
    <t>Bernstein, Sean</t>
  </si>
  <si>
    <t>Becker, Scott</t>
  </si>
  <si>
    <t>Becker, Renee</t>
  </si>
  <si>
    <t xml:space="preserve">Beatrice, Courtney </t>
  </si>
  <si>
    <t xml:space="preserve">Beak, Kimberly  </t>
  </si>
  <si>
    <t>Bates, Norman</t>
  </si>
  <si>
    <t>On-line Web application</t>
  </si>
  <si>
    <t>Barton, Nader</t>
  </si>
  <si>
    <t>Barone, Francesco  A</t>
  </si>
  <si>
    <t>Barbossa, Hector</t>
  </si>
  <si>
    <t>Barbara, Thomas</t>
  </si>
  <si>
    <t xml:space="preserve">Baczenski, Rachael  </t>
  </si>
  <si>
    <t xml:space="preserve">Bacong, Alejandro </t>
  </si>
  <si>
    <t>Bachiochi, Linda</t>
  </si>
  <si>
    <t>Athwal, Sam</t>
  </si>
  <si>
    <t>Andreola, Colby</t>
  </si>
  <si>
    <t xml:space="preserve">Anderson, Linda  </t>
  </si>
  <si>
    <t xml:space="preserve">Anderson, Carol </t>
  </si>
  <si>
    <t>Alagbe,Trina</t>
  </si>
  <si>
    <t>Akinkuolie, Sarah</t>
  </si>
  <si>
    <t xml:space="preserve">Ait Sidi, Karthikeyan   </t>
  </si>
  <si>
    <t>Adinolfi, Wilson  K</t>
  </si>
  <si>
    <t>Days Late Last 30Days</t>
  </si>
  <si>
    <t>Last Performance Review Date</t>
  </si>
  <si>
    <t>Special Projects Count</t>
  </si>
  <si>
    <t>Emp Satisfaction</t>
  </si>
  <si>
    <t>Engagement Survey</t>
  </si>
  <si>
    <t>Performance Score</t>
  </si>
  <si>
    <t>Recruitment Source</t>
  </si>
  <si>
    <t>Manager Name</t>
  </si>
  <si>
    <t>Department</t>
  </si>
  <si>
    <t>Term/Reason</t>
  </si>
  <si>
    <t>Date of Termination</t>
  </si>
  <si>
    <t>Date of Hire</t>
  </si>
  <si>
    <t>Race Desc</t>
  </si>
  <si>
    <t>Marital Desc</t>
  </si>
  <si>
    <t>Gender</t>
  </si>
  <si>
    <t>DOB</t>
  </si>
  <si>
    <t>Zip</t>
  </si>
  <si>
    <t>State</t>
  </si>
  <si>
    <t>Position</t>
  </si>
  <si>
    <t>Salary</t>
  </si>
  <si>
    <t>Employee ID</t>
  </si>
  <si>
    <t>Age at Hire</t>
  </si>
  <si>
    <t>Tenure</t>
  </si>
  <si>
    <t>Days Absent</t>
  </si>
  <si>
    <t xml:space="preserve"> </t>
  </si>
  <si>
    <t>Row Labels</t>
  </si>
  <si>
    <t>Grand Total</t>
  </si>
  <si>
    <t>Column Labels</t>
  </si>
  <si>
    <t>Max of Salary</t>
  </si>
  <si>
    <t>Average of Salary</t>
  </si>
  <si>
    <t>Count of Performance Score</t>
  </si>
  <si>
    <t>Count of Employee ID</t>
  </si>
  <si>
    <t>Employee Name</t>
  </si>
  <si>
    <t>Jul</t>
  </si>
  <si>
    <t>Aug</t>
  </si>
  <si>
    <t>Sep</t>
  </si>
  <si>
    <t>Oct</t>
  </si>
  <si>
    <t>Nov</t>
  </si>
  <si>
    <t>Dec</t>
  </si>
  <si>
    <t>Jan</t>
  </si>
  <si>
    <t>Feb</t>
  </si>
  <si>
    <t>Mar</t>
  </si>
  <si>
    <t>Apr</t>
  </si>
  <si>
    <t>May</t>
  </si>
  <si>
    <t>Jun</t>
  </si>
  <si>
    <t>Average of Emp Satisfaction</t>
  </si>
  <si>
    <t>Column1</t>
  </si>
  <si>
    <t>2011</t>
  </si>
  <si>
    <t>2012</t>
  </si>
  <si>
    <t>2010</t>
  </si>
  <si>
    <t>2013</t>
  </si>
  <si>
    <t>2014</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</si>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</sst>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44" formatCode="_(&quot;$&quot;* #,##0.00_);_(&quot;$&quot;* \(#,##0.00\);_(&quot;$&quot;* &quot;-&quot;??_);_(@_)"/>
    <numFmt numFmtId="164" formatCode="m/d/yy;@"/>
    <numFmt numFmtId="165" formatCode="0.00_);\(0.00\)"/>
    <numFmt numFmtId="166" formatCode="_(&quot;$&quot;* #,##0_);_(&quot;$&quot;* \(#,##0\);_(&quot;$&quot;* &quot;-&quot;??_);_(@_)"/>
    <numFmt numFmtId="167" formatCode="[&gt;=1000000]&quot;$&quot;#,###,,&quot;M&quot;;[&gt;=1000]&quot;$&quot;#,###,&quot;K&quot;;&quot;$&quot;0"/>
  </numFmts>
  <fonts count="4" x14ac:knownFonts="1">
    <font>
      <sz val="12"/>
      <color theme="1"/>
      <name val="Arial Black"/>
      <family val="2"/>
    </font>
    <font>
      <sz val="12"/>
      <color theme="1"/>
      <name val="Arial Black"/>
      <family val="2"/>
    </font>
    <font>
      <b/>
      <sz val="18.5"/>
      <color rgb="FF000000"/>
      <name val="Bahnschrift Condensed"/>
      <family val="2"/>
    </font>
    <font>
      <b/>
      <sz val="18"/>
      <color rgb="FF800000"/>
      <name val="Bahnschrift Condensed"/>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6" fontId="0" fillId="0" borderId="0" xfId="0" applyNumberFormat="1"/>
    <xf numFmtId="164" fontId="0" fillId="0" borderId="0" xfId="0" applyNumberFormat="1"/>
    <xf numFmtId="1" fontId="0" fillId="0" borderId="0" xfId="0" applyNumberFormat="1" applyAlignment="1">
      <alignment horizontal="right"/>
    </xf>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1" applyNumberFormat="1" applyFont="1"/>
    <xf numFmtId="166" fontId="0" fillId="0" borderId="0" xfId="0" applyNumberFormat="1"/>
    <xf numFmtId="1" fontId="0" fillId="0" borderId="0" xfId="1" applyNumberFormat="1" applyFont="1"/>
    <xf numFmtId="44" fontId="0" fillId="0" borderId="0" xfId="0" pivotButton="1" applyNumberFormat="1"/>
    <xf numFmtId="164" fontId="0" fillId="0" borderId="0" xfId="0" applyNumberFormat="1" applyAlignment="1">
      <alignment horizontal="left"/>
    </xf>
    <xf numFmtId="2" fontId="0" fillId="0" borderId="0" xfId="1" applyNumberFormat="1" applyFont="1"/>
    <xf numFmtId="2" fontId="0" fillId="0" borderId="0" xfId="0" applyNumberFormat="1"/>
    <xf numFmtId="167" fontId="0" fillId="0" borderId="0" xfId="0" applyNumberFormat="1"/>
    <xf numFmtId="0" fontId="2" fillId="0" borderId="0" xfId="0" applyFont="1" applyAlignment="1">
      <alignment horizontal="right" vertical="center"/>
    </xf>
    <xf numFmtId="0" fontId="3" fillId="0" borderId="0" xfId="0" applyFont="1" applyAlignment="1">
      <alignment horizontal="center" vertical="center"/>
    </xf>
  </cellXfs>
  <cellStyles count="2">
    <cellStyle name="Currency" xfId="1" builtinId="4"/>
    <cellStyle name="Normal" xfId="0" builtinId="0"/>
  </cellStyles>
  <dxfs count="46">
    <dxf>
      <font>
        <b/>
        <i val="0"/>
        <sz val="8"/>
        <color rgb="FF000000"/>
        <name val="Bahnschrift Condensed"/>
        <family val="2"/>
        <scheme val="none"/>
      </font>
      <fill>
        <patternFill patternType="solid">
          <fgColor theme="2" tint="-0.24994659260841701"/>
          <bgColor theme="2" tint="-9.9948118533890809E-2"/>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8"/>
        <color theme="0" tint="-0.34998626667073579"/>
        <name val=" "/>
        <scheme val="none"/>
      </font>
      <fill>
        <patternFill patternType="solid">
          <fgColor auto="1"/>
          <bgColor theme="0" tint="-0.24994659260841701"/>
        </patternFill>
      </fill>
      <border diagonalUp="0" diagonalDown="0">
        <left style="thin">
          <color theme="8" tint="0.39991454817346722"/>
        </left>
        <right style="thin">
          <color theme="8" tint="0.39991454817346722"/>
        </right>
        <top style="thin">
          <color theme="8" tint="0.39991454817346722"/>
        </top>
        <bottom style="thin">
          <color theme="8" tint="0.39991454817346722"/>
        </bottom>
        <vertical/>
        <horizontal/>
      </border>
    </dxf>
    <dxf>
      <numFmt numFmtId="1" formatCode="0"/>
    </dxf>
    <dxf>
      <numFmt numFmtId="1" formatCode="0"/>
    </dxf>
    <dxf>
      <numFmt numFmtId="164" formatCode="m/d/yy;@"/>
    </dxf>
    <dxf>
      <numFmt numFmtId="1" formatCode="0"/>
    </dxf>
    <dxf>
      <numFmt numFmtId="1" formatCode="0"/>
    </dxf>
    <dxf>
      <numFmt numFmtId="165" formatCode="0.00_);\(0.00\)"/>
    </dxf>
    <dxf>
      <numFmt numFmtId="1" formatCode="0"/>
    </dxf>
    <dxf>
      <numFmt numFmtId="164" formatCode="m/d/yy;@"/>
    </dxf>
    <dxf>
      <numFmt numFmtId="1" formatCode="0"/>
      <alignment horizontal="right" vertical="bottom" textRotation="0" wrapText="0" indent="0" justifyLastLine="0" shrinkToFit="0" readingOrder="0"/>
    </dxf>
    <dxf>
      <numFmt numFmtId="164" formatCode="m/d/yy;@"/>
    </dxf>
    <dxf>
      <numFmt numFmtId="164" formatCode="m/d/yy;@"/>
    </dxf>
    <dxf>
      <numFmt numFmtId="1" formatCode="0"/>
    </dxf>
    <dxf>
      <numFmt numFmtId="10" formatCode="&quot;$&quot;#,##0_);[Red]\(&quot;$&quot;#,##0\)"/>
    </dxf>
    <dxf>
      <numFmt numFmtId="1" formatCode="0"/>
    </dxf>
    <dxf>
      <numFmt numFmtId="167" formatCode="[&gt;=1000000]&quot;$&quot;#,###,,&quot;M&quot;;[&gt;=1000]&quot;$&quot;#,###,&quot;K&quot;;&quot;$&quot;0"/>
    </dxf>
    <dxf>
      <numFmt numFmtId="166" formatCode="_(&quot;$&quot;* #,##0_);_(&quot;$&quot;* \(#,##0\);_(&quot;$&quot;* &quot;-&quot;??_);_(@_)"/>
    </dxf>
    <dxf>
      <numFmt numFmtId="166" formatCode="_(&quot;$&quot;* #,##0_);_(&quot;$&quot;* \(#,##0\);_(&quot;$&quot;* &quot;-&quot;??_);_(@_)"/>
    </dxf>
    <dxf>
      <numFmt numFmtId="167" formatCode="[&gt;=1000000]&quot;$&quot;#,###,,&quot;M&quot;;[&gt;=1000]&quot;$&quot;#,###,&quot;K&quot;;&quot;$&quot;0"/>
    </dxf>
    <dxf>
      <numFmt numFmtId="166" formatCode="_(&quot;$&quot;* #,##0_);_(&quot;$&quot;* \(#,##0\);_(&quot;$&quot;* &quot;-&quot;??_);_(@_)"/>
    </dxf>
    <dxf>
      <numFmt numFmtId="166" formatCode="_(&quot;$&quot;* #,##0_);_(&quot;$&quot;* \(#,##0\);_(&quot;$&quot;* &quot;-&quot;??_);_(@_)"/>
    </dxf>
    <dxf>
      <numFmt numFmtId="167" formatCode="[&gt;=1000000]&quot;$&quot;#,###,,&quot;M&quot;;[&gt;=1000]&quot;$&quot;#,###,&quot;K&quot;;&quot;$&quot;0"/>
    </dxf>
    <dxf>
      <numFmt numFmtId="166" formatCode="_(&quot;$&quot;* #,##0_);_(&quot;$&quot;* \(#,##0\);_(&quot;$&quot;* &quot;-&quot;??_);_(@_)"/>
    </dxf>
    <dxf>
      <numFmt numFmtId="166" formatCode="_(&quot;$&quot;* #,##0_);_(&quot;$&quot;* \(#,##0\);_(&quot;$&quot;*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7" formatCode="[&gt;=1000000]&quot;$&quot;#,###,,&quot;M&quot;;[&gt;=1000]&quot;$&quot;#,###,&quot;K&quot;;&quot;$&quot;0"/>
    </dxf>
    <dxf>
      <numFmt numFmtId="166" formatCode="_(&quot;$&quot;* #,##0_);_(&quot;$&quot;* \(#,##0\);_(&quot;$&quot;* &quot;-&quot;??_);_(@_)"/>
    </dxf>
    <dxf>
      <numFmt numFmtId="166" formatCode="_(&quot;$&quot;* #,##0_);_(&quot;$&quot;* \(#,##0\);_(&quot;$&quot;* &quot;-&quot;??_);_(@_)"/>
    </dxf>
    <dxf>
      <numFmt numFmtId="34" formatCode="_(&quot;$&quot;* #,##0.00_);_(&quot;$&quot;* \(#,##0.00\);_(&quot;$&quot;* &quot;-&quot;??_);_(@_)"/>
    </dxf>
    <dxf>
      <numFmt numFmtId="167" formatCode="[&gt;=1000000]&quot;$&quot;#,###,,&quot;M&quot;;[&gt;=1000]&quot;$&quot;#,###,&quot;K&quot;;&quot;$&quot;0"/>
    </dxf>
    <dxf>
      <numFmt numFmtId="166" formatCode="_(&quot;$&quot;* #,##0_);_(&quot;$&quot;* \(#,##0\);_(&quot;$&quot;* &quot;-&quot;??_);_(@_)"/>
    </dxf>
    <dxf>
      <numFmt numFmtId="166" formatCode="_(&quot;$&quot;* #,##0_);_(&quot;$&quot;* \(#,##0\);_(&quot;$&quot;* &quot;-&quot;??_);_(@_)"/>
    </dxf>
    <dxf>
      <numFmt numFmtId="34" formatCode="_(&quot;$&quot;* #,##0.00_);_(&quot;$&quot;* \(#,##0.00\);_(&quot;$&quot;* &quot;-&quot;??_);_(@_)"/>
    </dxf>
    <dxf>
      <numFmt numFmtId="2" formatCode="0.00"/>
    </dxf>
    <dxf>
      <numFmt numFmtId="2" formatCode="0.00"/>
    </dxf>
    <dxf>
      <numFmt numFmtId="34" formatCode="_(&quot;$&quot;* #,##0.00_);_(&quot;$&quot;* \(#,##0.00\);_(&quot;$&quot;* &quot;-&quot;??_);_(@_)"/>
    </dxf>
    <dxf>
      <font>
        <b/>
        <i/>
        <sz val="8"/>
        <color rgb="FF000000"/>
        <name val="Arial Narrow"/>
        <family val="2"/>
        <scheme val="none"/>
      </font>
      <fill>
        <patternFill patternType="solid">
          <fgColor theme="2" tint="-0.24994659260841701"/>
          <bgColor theme="2" tint="-9.9948118533890809E-2"/>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8"/>
        <color theme="0" tint="-0.34998626667073579"/>
        <name val=" "/>
        <scheme val="none"/>
      </font>
      <fill>
        <patternFill patternType="solid">
          <fgColor auto="1"/>
          <bgColor theme="0" tint="-0.24994659260841701"/>
        </patternFill>
      </fill>
      <border diagonalUp="0" diagonalDown="0">
        <left style="thin">
          <color theme="8" tint="0.39991454817346722"/>
        </left>
        <right style="thin">
          <color theme="8" tint="0.39991454817346722"/>
        </right>
        <top style="thin">
          <color theme="8" tint="0.39991454817346722"/>
        </top>
        <bottom style="thin">
          <color theme="8" tint="0.39991454817346722"/>
        </bottom>
        <vertical/>
        <horizontal/>
      </border>
    </dxf>
  </dxfs>
  <tableStyles count="2" defaultTableStyle="TableStyleMedium2" defaultPivotStyle="PivotStyleLight16">
    <tableStyle name="HR_Data_Set" pivot="0" table="0" count="10" xr9:uid="{1C2A33A3-4E27-4C09-A3AA-63805F0C26AB}">
      <tableStyleElement type="wholeTable" dxfId="1"/>
      <tableStyleElement type="headerRow" dxfId="0"/>
    </tableStyle>
    <tableStyle name="HR_Data_Set 2" pivot="0" table="0" count="10" xr9:uid="{DBB3076F-664F-4B95-AD41-578297C6A801}">
      <tableStyleElement type="wholeTable" dxfId="45"/>
      <tableStyleElement type="headerRow" dxfId="44"/>
    </tableStyle>
  </tableStyles>
  <colors>
    <mruColors>
      <color rgb="FF800000"/>
      <color rgb="FF425166"/>
      <color rgb="FF090C0F"/>
      <color rgb="FF16608E"/>
      <color rgb="FF003300"/>
      <color rgb="FF000000"/>
      <color rgb="FFFF0000"/>
      <color rgb="FF0097A7"/>
      <color rgb="FF008080"/>
      <color rgb="FF00FFFF"/>
    </mruColors>
  </colors>
  <extLst>
    <ext xmlns:x14="http://schemas.microsoft.com/office/spreadsheetml/2009/9/main" uri="{46F421CA-312F-682f-3DD2-61675219B42D}">
      <x14:dxfs count="32">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auto="1"/>
            </left>
            <right style="thin">
              <color auto="1"/>
            </right>
            <top style="thin">
              <color auto="1"/>
            </top>
            <bottom style="thin">
              <color auto="1"/>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val="0"/>
            <i/>
            <sz val="8"/>
            <color rgb="FF800000"/>
            <name val="Bahnschrift SemiBold"/>
            <family val="2"/>
            <scheme val="none"/>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auto="1"/>
            </left>
            <right style="thin">
              <color auto="1"/>
            </right>
            <top style="thin">
              <color auto="1"/>
            </top>
            <bottom style="thin">
              <color auto="1"/>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val="0"/>
            <i/>
            <sz val="7"/>
            <color rgb="FF800000"/>
            <name val="Bahnschrift SemiBold"/>
            <family val="2"/>
            <scheme val="none"/>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auto="1"/>
            </left>
            <right style="thin">
              <color auto="1"/>
            </right>
            <top style="thin">
              <color auto="1"/>
            </top>
            <bottom style="thin">
              <color auto="1"/>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val="0"/>
            <i/>
            <sz val="7"/>
            <color rgb="FFFF0000"/>
            <name val="Bahnschrift SemiBold"/>
            <family val="2"/>
            <scheme val="none"/>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auto="1"/>
            </left>
            <right style="thin">
              <color auto="1"/>
            </right>
            <top style="thin">
              <color auto="1"/>
            </top>
            <bottom style="thin">
              <color auto="1"/>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val="0"/>
            <i/>
            <sz val="7"/>
            <color rgb="FFFF0000"/>
            <name val="Bahnschrift SemiBold"/>
            <family val="2"/>
            <scheme val="none"/>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dxf>
          <font>
            <b/>
            <i/>
            <sz val="7"/>
            <color rgb="FFFF0000"/>
          </font>
          <fill>
            <patternFill patternType="solid">
              <fgColor auto="1"/>
              <bgColor theme="2" tint="-0.24994659260841701"/>
            </patternFill>
          </fill>
          <border>
            <left style="thin">
              <color theme="8" tint="0.39994506668294322"/>
            </left>
            <right style="thin">
              <color theme="8" tint="0.39994506668294322"/>
            </right>
            <top style="thin">
              <color theme="8" tint="0.39994506668294322"/>
            </top>
            <bottom style="thin">
              <color theme="8" tint="0.39994506668294322"/>
            </bottom>
          </border>
        </dxf>
      </x14:dxfs>
    </ext>
    <ext xmlns:x14="http://schemas.microsoft.com/office/spreadsheetml/2009/9/main" uri="{EB79DEF2-80B8-43e5-95BD-54CBDDF9020C}">
      <x14:slicerStyles defaultSlicerStyle="HR_Data_Set">
        <x14:slicerStyle name="HR_Data_Se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HR_Data_Set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FILE.xlsx]Top 15 Performing Managers!PivotTable1</c:name>
    <c:fmtId val="14"/>
  </c:pivotSource>
  <c:chart>
    <c:autoTitleDeleted val="1"/>
    <c:pivotFmts>
      <c:pivotFmt>
        <c:idx val="0"/>
        <c:spPr>
          <a:solidFill>
            <a:schemeClr val="accent1"/>
          </a:solidFill>
          <a:ln>
            <a:noFill/>
          </a:ln>
          <a:effectLst/>
          <a:scene3d>
            <a:camera prst="orthographicFront"/>
            <a:lightRig rig="threePt" dir="t"/>
          </a:scene3d>
          <a:sp3d prstMaterial="plastic">
            <a:bevelT w="317500" h="317500"/>
            <a:bevelB w="317500" h="3175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2"/>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3"/>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4"/>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5"/>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6"/>
        <c:spPr>
          <a:solidFill>
            <a:srgbClr val="0070C0"/>
          </a:solidFill>
          <a:ln>
            <a:noFill/>
          </a:ln>
          <a:effectLst/>
          <a:scene3d>
            <a:camera prst="orthographicFront"/>
            <a:lightRig rig="threePt" dir="t"/>
          </a:scene3d>
          <a:sp3d prstMaterial="plastic">
            <a:bevelT w="317500" h="317500"/>
            <a:bevelB w="317500" h="317500"/>
          </a:sp3d>
        </c:spPr>
      </c:pivotFmt>
      <c:pivotFmt>
        <c:idx val="7"/>
        <c:spPr>
          <a:solidFill>
            <a:srgbClr val="0070C0"/>
          </a:solidFill>
          <a:ln>
            <a:noFill/>
          </a:ln>
          <a:effectLst/>
          <a:scene3d>
            <a:camera prst="orthographicFront"/>
            <a:lightRig rig="threePt" dir="t"/>
          </a:scene3d>
          <a:sp3d prstMaterial="plastic">
            <a:bevelT w="317500" h="317500"/>
            <a:bevelB w="317500" h="317500"/>
          </a:sp3d>
        </c:spPr>
      </c:pivotFmt>
      <c:pivotFmt>
        <c:idx val="8"/>
        <c:spPr>
          <a:solidFill>
            <a:srgbClr val="0070C0"/>
          </a:solidFill>
          <a:ln>
            <a:noFill/>
          </a:ln>
          <a:effectLst/>
          <a:scene3d>
            <a:camera prst="orthographicFront"/>
            <a:lightRig rig="threePt" dir="t"/>
          </a:scene3d>
          <a:sp3d prstMaterial="plastic">
            <a:bevelT w="317500" h="317500"/>
            <a:bevelB w="317500" h="317500"/>
          </a:sp3d>
        </c:spPr>
      </c:pivotFmt>
      <c:pivotFmt>
        <c:idx val="9"/>
        <c:spPr>
          <a:solidFill>
            <a:srgbClr val="0070C0"/>
          </a:solidFill>
          <a:ln>
            <a:noFill/>
          </a:ln>
          <a:effectLst/>
          <a:scene3d>
            <a:camera prst="orthographicFront"/>
            <a:lightRig rig="threePt" dir="t"/>
          </a:scene3d>
          <a:sp3d prstMaterial="plastic">
            <a:bevelT w="317500" h="317500"/>
            <a:bevelB w="317500" h="317500"/>
          </a:sp3d>
        </c:spPr>
      </c:pivotFmt>
      <c:pivotFmt>
        <c:idx val="10"/>
        <c:spPr>
          <a:solidFill>
            <a:schemeClr val="accent5">
              <a:lumMod val="50000"/>
            </a:schemeClr>
          </a:solidFill>
          <a:ln>
            <a:noFill/>
          </a:ln>
          <a:effectLst/>
          <a:scene3d>
            <a:camera prst="orthographicFront"/>
            <a:lightRig rig="threePt" dir="t"/>
          </a:scene3d>
          <a:sp3d prstMaterial="plastic">
            <a:bevelT w="317500" h="317500"/>
            <a:bevelB w="317500" h="317500"/>
          </a:sp3d>
        </c:spPr>
      </c:pivotFmt>
      <c:pivotFmt>
        <c:idx val="11"/>
        <c:spPr>
          <a:solidFill>
            <a:schemeClr val="accent5">
              <a:lumMod val="75000"/>
            </a:schemeClr>
          </a:solidFill>
          <a:ln>
            <a:noFill/>
          </a:ln>
          <a:effectLst/>
          <a:scene3d>
            <a:camera prst="orthographicFront"/>
            <a:lightRig rig="threePt" dir="t"/>
          </a:scene3d>
          <a:sp3d prstMaterial="plastic">
            <a:bevelT w="317500" h="317500"/>
            <a:bevelB w="317500" h="317500"/>
          </a:sp3d>
        </c:spPr>
      </c:pivotFmt>
      <c:pivotFmt>
        <c:idx val="12"/>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pivotFmt>
      <c:pivotFmt>
        <c:idx val="13"/>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pivotFmt>
      <c:pivotFmt>
        <c:idx val="14"/>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15"/>
        <c:spPr>
          <a:solidFill>
            <a:schemeClr val="accent2">
              <a:lumMod val="50000"/>
            </a:schemeClr>
          </a:solidFill>
          <a:ln>
            <a:noFill/>
          </a:ln>
          <a:effectLst/>
          <a:scene3d>
            <a:camera prst="orthographicFront"/>
            <a:lightRig rig="threePt" dir="t"/>
          </a:scene3d>
          <a:sp3d prstMaterial="plastic">
            <a:bevelT w="317500" h="317500"/>
            <a:bevelB w="317500" h="317500"/>
          </a:sp3d>
        </c:spPr>
      </c:pivotFmt>
      <c:pivotFmt>
        <c:idx val="16"/>
        <c:spPr>
          <a:solidFill>
            <a:schemeClr val="accent1"/>
          </a:solidFill>
          <a:ln>
            <a:noFill/>
          </a:ln>
          <a:effectLst/>
          <a:scene3d>
            <a:camera prst="orthographicFront"/>
            <a:lightRig rig="threePt" dir="t"/>
          </a:scene3d>
          <a:sp3d prstMaterial="plastic">
            <a:bevelT w="317500" h="317500"/>
            <a:bevelB w="317500" h="3175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lumMod val="50000"/>
            </a:schemeClr>
          </a:solidFill>
          <a:ln>
            <a:noFill/>
          </a:ln>
          <a:effectLst/>
          <a:scene3d>
            <a:camera prst="orthographicFront"/>
            <a:lightRig rig="threePt" dir="t"/>
          </a:scene3d>
          <a:sp3d prstMaterial="plastic">
            <a:bevelT w="317500" h="317500"/>
            <a:bevelB w="317500" h="317500"/>
          </a:sp3d>
        </c:spPr>
      </c:pivotFmt>
      <c:pivotFmt>
        <c:idx val="18"/>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19"/>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pivotFmt>
      <c:pivotFmt>
        <c:idx val="20"/>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pivotFmt>
      <c:pivotFmt>
        <c:idx val="21"/>
        <c:spPr>
          <a:solidFill>
            <a:schemeClr val="accent5">
              <a:lumMod val="75000"/>
            </a:schemeClr>
          </a:solidFill>
          <a:ln>
            <a:noFill/>
          </a:ln>
          <a:effectLst/>
          <a:scene3d>
            <a:camera prst="orthographicFront"/>
            <a:lightRig rig="threePt" dir="t"/>
          </a:scene3d>
          <a:sp3d prstMaterial="plastic">
            <a:bevelT w="317500" h="317500"/>
            <a:bevelB w="317500" h="317500"/>
          </a:sp3d>
        </c:spPr>
      </c:pivotFmt>
      <c:pivotFmt>
        <c:idx val="22"/>
        <c:spPr>
          <a:solidFill>
            <a:schemeClr val="accent5">
              <a:lumMod val="50000"/>
            </a:schemeClr>
          </a:solidFill>
          <a:ln>
            <a:noFill/>
          </a:ln>
          <a:effectLst/>
          <a:scene3d>
            <a:camera prst="orthographicFront"/>
            <a:lightRig rig="threePt" dir="t"/>
          </a:scene3d>
          <a:sp3d prstMaterial="plastic">
            <a:bevelT w="317500" h="317500"/>
            <a:bevelB w="317500" h="317500"/>
          </a:sp3d>
        </c:spPr>
      </c:pivotFmt>
      <c:pivotFmt>
        <c:idx val="23"/>
        <c:spPr>
          <a:solidFill>
            <a:srgbClr val="0070C0"/>
          </a:solidFill>
          <a:ln>
            <a:noFill/>
          </a:ln>
          <a:effectLst/>
          <a:scene3d>
            <a:camera prst="orthographicFront"/>
            <a:lightRig rig="threePt" dir="t"/>
          </a:scene3d>
          <a:sp3d prstMaterial="plastic">
            <a:bevelT w="317500" h="317500"/>
            <a:bevelB w="317500" h="317500"/>
          </a:sp3d>
        </c:spPr>
      </c:pivotFmt>
      <c:pivotFmt>
        <c:idx val="24"/>
        <c:spPr>
          <a:solidFill>
            <a:srgbClr val="0070C0"/>
          </a:solidFill>
          <a:ln>
            <a:noFill/>
          </a:ln>
          <a:effectLst/>
          <a:scene3d>
            <a:camera prst="orthographicFront"/>
            <a:lightRig rig="threePt" dir="t"/>
          </a:scene3d>
          <a:sp3d prstMaterial="plastic">
            <a:bevelT w="317500" h="317500"/>
            <a:bevelB w="317500" h="317500"/>
          </a:sp3d>
        </c:spPr>
      </c:pivotFmt>
      <c:pivotFmt>
        <c:idx val="25"/>
        <c:spPr>
          <a:solidFill>
            <a:srgbClr val="0070C0"/>
          </a:solidFill>
          <a:ln>
            <a:noFill/>
          </a:ln>
          <a:effectLst/>
          <a:scene3d>
            <a:camera prst="orthographicFront"/>
            <a:lightRig rig="threePt" dir="t"/>
          </a:scene3d>
          <a:sp3d prstMaterial="plastic">
            <a:bevelT w="317500" h="317500"/>
            <a:bevelB w="317500" h="317500"/>
          </a:sp3d>
        </c:spPr>
      </c:pivotFmt>
      <c:pivotFmt>
        <c:idx val="26"/>
        <c:spPr>
          <a:solidFill>
            <a:srgbClr val="0070C0"/>
          </a:solidFill>
          <a:ln>
            <a:noFill/>
          </a:ln>
          <a:effectLst/>
          <a:scene3d>
            <a:camera prst="orthographicFront"/>
            <a:lightRig rig="threePt" dir="t"/>
          </a:scene3d>
          <a:sp3d prstMaterial="plastic">
            <a:bevelT w="317500" h="317500"/>
            <a:bevelB w="317500" h="317500"/>
          </a:sp3d>
        </c:spPr>
      </c:pivotFmt>
      <c:pivotFmt>
        <c:idx val="27"/>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28"/>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29"/>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30"/>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31"/>
        <c:spPr>
          <a:solidFill>
            <a:schemeClr val="accent6">
              <a:lumMod val="50000"/>
            </a:schemeClr>
          </a:solidFill>
          <a:ln>
            <a:noFill/>
          </a:ln>
          <a:effectLst/>
          <a:scene3d>
            <a:camera prst="orthographicFront"/>
            <a:lightRig rig="threePt" dir="t"/>
          </a:scene3d>
          <a:sp3d prstMaterial="plastic">
            <a:bevelT w="317500" h="317500"/>
            <a:bevelB w="317500" h="317500"/>
          </a:sp3d>
        </c:spPr>
      </c:pivotFmt>
      <c:pivotFmt>
        <c:idx val="32"/>
        <c:spPr>
          <a:solidFill>
            <a:schemeClr val="accent1"/>
          </a:solidFill>
          <a:ln>
            <a:noFill/>
          </a:ln>
          <a:effectLst/>
          <a:scene3d>
            <a:camera prst="orthographicFront"/>
            <a:lightRig rig="threePt" dir="t"/>
          </a:scene3d>
          <a:sp3d prstMaterial="plastic">
            <a:bevelT w="317500" h="317500"/>
            <a:bevelB w="317500" h="3175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7030A0"/>
          </a:solidFill>
          <a:ln>
            <a:noFill/>
          </a:ln>
          <a:effectLst/>
          <a:scene3d>
            <a:camera prst="orthographicFront"/>
            <a:lightRig rig="threePt" dir="t"/>
          </a:scene3d>
          <a:sp3d prstMaterial="plastic">
            <a:bevelT w="317500" h="317500"/>
            <a:bevelB w="317500" h="317500"/>
          </a:sp3d>
        </c:spPr>
      </c:pivotFmt>
      <c:pivotFmt>
        <c:idx val="34"/>
        <c:spPr>
          <a:solidFill>
            <a:schemeClr val="accent1">
              <a:lumMod val="75000"/>
            </a:schemeClr>
          </a:solidFill>
          <a:ln>
            <a:noFill/>
          </a:ln>
          <a:effectLst/>
          <a:scene3d>
            <a:camera prst="orthographicFront"/>
            <a:lightRig rig="threePt" dir="t"/>
          </a:scene3d>
          <a:sp3d prstMaterial="plastic">
            <a:bevelT w="317500" h="317500"/>
            <a:bevelB w="317500" h="317500"/>
          </a:sp3d>
        </c:spPr>
      </c:pivotFmt>
      <c:pivotFmt>
        <c:idx val="35"/>
        <c:spPr>
          <a:solidFill>
            <a:srgbClr val="002060"/>
          </a:solidFill>
          <a:ln>
            <a:noFill/>
          </a:ln>
          <a:effectLst/>
          <a:scene3d>
            <a:camera prst="orthographicFront"/>
            <a:lightRig rig="threePt" dir="t"/>
          </a:scene3d>
          <a:sp3d prstMaterial="plastic">
            <a:bevelT w="317500" h="317500"/>
            <a:bevelB w="317500" h="317500"/>
          </a:sp3d>
        </c:spPr>
      </c:pivotFmt>
      <c:pivotFmt>
        <c:idx val="36"/>
        <c:spPr>
          <a:solidFill>
            <a:srgbClr val="002060"/>
          </a:solidFill>
          <a:ln>
            <a:noFill/>
          </a:ln>
          <a:effectLst/>
          <a:scene3d>
            <a:camera prst="orthographicFront"/>
            <a:lightRig rig="threePt" dir="t"/>
          </a:scene3d>
          <a:sp3d prstMaterial="plastic">
            <a:bevelT w="317500" h="317500"/>
            <a:bevelB w="317500" h="317500"/>
          </a:sp3d>
        </c:spPr>
      </c:pivotFmt>
      <c:pivotFmt>
        <c:idx val="37"/>
        <c:spPr>
          <a:solidFill>
            <a:srgbClr val="00B050"/>
          </a:solidFill>
          <a:ln>
            <a:noFill/>
          </a:ln>
          <a:effectLst/>
          <a:scene3d>
            <a:camera prst="orthographicFront"/>
            <a:lightRig rig="threePt" dir="t"/>
          </a:scene3d>
          <a:sp3d prstMaterial="plastic">
            <a:bevelT w="317500" h="317500"/>
            <a:bevelB w="317500" h="317500"/>
          </a:sp3d>
        </c:spPr>
      </c:pivotFmt>
      <c:pivotFmt>
        <c:idx val="38"/>
        <c:spPr>
          <a:solidFill>
            <a:schemeClr val="accent4"/>
          </a:solidFill>
          <a:ln>
            <a:noFill/>
          </a:ln>
          <a:effectLst/>
          <a:scene3d>
            <a:camera prst="orthographicFront"/>
            <a:lightRig rig="threePt" dir="t"/>
          </a:scene3d>
          <a:sp3d prstMaterial="plastic">
            <a:bevelT w="317500" h="317500"/>
            <a:bevelB w="317500" h="317500"/>
          </a:sp3d>
        </c:spPr>
      </c:pivotFmt>
      <c:pivotFmt>
        <c:idx val="39"/>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40"/>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41"/>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42"/>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43"/>
        <c:spPr>
          <a:solidFill>
            <a:srgbClr val="003300"/>
          </a:solidFill>
          <a:ln>
            <a:noFill/>
          </a:ln>
          <a:effectLst/>
          <a:scene3d>
            <a:camera prst="orthographicFront"/>
            <a:lightRig rig="threePt" dir="t"/>
          </a:scene3d>
          <a:sp3d prstMaterial="plastic">
            <a:bevelT w="317500" h="317500"/>
            <a:bevelB w="317500" h="317500"/>
          </a:sp3d>
        </c:spPr>
      </c:pivotFmt>
      <c:pivotFmt>
        <c:idx val="44"/>
        <c:spPr>
          <a:solidFill>
            <a:srgbClr val="003300"/>
          </a:solidFill>
          <a:ln>
            <a:noFill/>
          </a:ln>
          <a:effectLst/>
          <a:scene3d>
            <a:camera prst="orthographicFront"/>
            <a:lightRig rig="threePt" dir="t"/>
          </a:scene3d>
          <a:sp3d prstMaterial="plastic">
            <a:bevelT w="317500" h="317500"/>
            <a:bevelB w="317500" h="317500"/>
          </a:sp3d>
        </c:spPr>
      </c:pivotFmt>
      <c:pivotFmt>
        <c:idx val="45"/>
        <c:spPr>
          <a:solidFill>
            <a:srgbClr val="003300"/>
          </a:solidFill>
          <a:ln>
            <a:noFill/>
          </a:ln>
          <a:effectLst/>
          <a:scene3d>
            <a:camera prst="orthographicFront"/>
            <a:lightRig rig="threePt" dir="t"/>
          </a:scene3d>
          <a:sp3d prstMaterial="plastic">
            <a:bevelT w="317500" h="317500"/>
            <a:bevelB w="317500" h="317500"/>
          </a:sp3d>
        </c:spPr>
      </c:pivotFmt>
      <c:pivotFmt>
        <c:idx val="46"/>
        <c:spPr>
          <a:solidFill>
            <a:srgbClr val="003300"/>
          </a:solidFill>
          <a:ln>
            <a:noFill/>
          </a:ln>
          <a:effectLst/>
          <a:scene3d>
            <a:camera prst="orthographicFront"/>
            <a:lightRig rig="threePt" dir="t"/>
          </a:scene3d>
          <a:sp3d prstMaterial="plastic">
            <a:bevelT w="317500" h="317500"/>
            <a:bevelB w="317500" h="317500"/>
          </a:sp3d>
        </c:spPr>
      </c:pivotFmt>
      <c:pivotFmt>
        <c:idx val="47"/>
        <c:spPr>
          <a:solidFill>
            <a:srgbClr val="003300"/>
          </a:solidFill>
          <a:ln>
            <a:noFill/>
          </a:ln>
          <a:effectLst/>
          <a:scene3d>
            <a:camera prst="orthographicFront"/>
            <a:lightRig rig="threePt" dir="t"/>
          </a:scene3d>
          <a:sp3d prstMaterial="plastic">
            <a:bevelT w="317500" h="317500"/>
            <a:bevelB w="317500" h="317500"/>
          </a:sp3d>
        </c:spPr>
      </c:pivotFmt>
      <c:pivotFmt>
        <c:idx val="48"/>
        <c:spPr>
          <a:solidFill>
            <a:schemeClr val="accent1"/>
          </a:solidFill>
          <a:ln>
            <a:noFill/>
          </a:ln>
          <a:effectLst/>
          <a:scene3d>
            <a:camera prst="orthographicFront"/>
            <a:lightRig rig="threePt" dir="t"/>
          </a:scene3d>
          <a:sp3d prstMaterial="plastic">
            <a:bevelT w="317500" h="317500"/>
            <a:bevelB w="317500" h="3175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rgbClr val="7030A0"/>
          </a:solidFill>
          <a:ln>
            <a:noFill/>
          </a:ln>
          <a:effectLst/>
          <a:scene3d>
            <a:camera prst="orthographicFront"/>
            <a:lightRig rig="threePt" dir="t"/>
          </a:scene3d>
          <a:sp3d prstMaterial="plastic">
            <a:bevelT w="317500" h="317500"/>
            <a:bevelB w="317500" h="317500"/>
          </a:sp3d>
        </c:spPr>
      </c:pivotFmt>
      <c:pivotFmt>
        <c:idx val="50"/>
        <c:spPr>
          <a:solidFill>
            <a:schemeClr val="accent1">
              <a:lumMod val="75000"/>
            </a:schemeClr>
          </a:solidFill>
          <a:ln>
            <a:noFill/>
          </a:ln>
          <a:effectLst/>
          <a:scene3d>
            <a:camera prst="orthographicFront"/>
            <a:lightRig rig="threePt" dir="t"/>
          </a:scene3d>
          <a:sp3d prstMaterial="plastic">
            <a:bevelT w="317500" h="317500"/>
            <a:bevelB w="317500" h="317500"/>
          </a:sp3d>
        </c:spPr>
      </c:pivotFmt>
      <c:pivotFmt>
        <c:idx val="51"/>
        <c:spPr>
          <a:solidFill>
            <a:srgbClr val="002060"/>
          </a:solidFill>
          <a:ln>
            <a:noFill/>
          </a:ln>
          <a:effectLst/>
          <a:scene3d>
            <a:camera prst="orthographicFront"/>
            <a:lightRig rig="threePt" dir="t"/>
          </a:scene3d>
          <a:sp3d prstMaterial="plastic">
            <a:bevelT w="317500" h="317500"/>
            <a:bevelB w="317500" h="317500"/>
          </a:sp3d>
        </c:spPr>
      </c:pivotFmt>
      <c:pivotFmt>
        <c:idx val="52"/>
        <c:spPr>
          <a:solidFill>
            <a:srgbClr val="002060"/>
          </a:solidFill>
          <a:ln>
            <a:noFill/>
          </a:ln>
          <a:effectLst/>
          <a:scene3d>
            <a:camera prst="orthographicFront"/>
            <a:lightRig rig="threePt" dir="t"/>
          </a:scene3d>
          <a:sp3d prstMaterial="plastic">
            <a:bevelT w="317500" h="317500"/>
            <a:bevelB w="317500" h="317500"/>
          </a:sp3d>
        </c:spPr>
      </c:pivotFmt>
      <c:pivotFmt>
        <c:idx val="53"/>
        <c:spPr>
          <a:solidFill>
            <a:srgbClr val="00B050"/>
          </a:solidFill>
          <a:ln>
            <a:noFill/>
          </a:ln>
          <a:effectLst/>
          <a:scene3d>
            <a:camera prst="orthographicFront"/>
            <a:lightRig rig="threePt" dir="t"/>
          </a:scene3d>
          <a:sp3d prstMaterial="plastic">
            <a:bevelT w="317500" h="317500"/>
            <a:bevelB w="317500" h="317500"/>
          </a:sp3d>
        </c:spPr>
      </c:pivotFmt>
      <c:pivotFmt>
        <c:idx val="54"/>
        <c:spPr>
          <a:solidFill>
            <a:schemeClr val="accent4"/>
          </a:solidFill>
          <a:ln>
            <a:noFill/>
          </a:ln>
          <a:effectLst/>
          <a:scene3d>
            <a:camera prst="orthographicFront"/>
            <a:lightRig rig="threePt" dir="t"/>
          </a:scene3d>
          <a:sp3d prstMaterial="plastic">
            <a:bevelT w="317500" h="317500"/>
            <a:bevelB w="317500" h="317500"/>
          </a:sp3d>
        </c:spPr>
      </c:pivotFmt>
      <c:pivotFmt>
        <c:idx val="55"/>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56"/>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57"/>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58"/>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59"/>
        <c:spPr>
          <a:solidFill>
            <a:srgbClr val="003300"/>
          </a:solidFill>
          <a:ln>
            <a:noFill/>
          </a:ln>
          <a:effectLst/>
          <a:scene3d>
            <a:camera prst="orthographicFront"/>
            <a:lightRig rig="threePt" dir="t"/>
          </a:scene3d>
          <a:sp3d prstMaterial="plastic">
            <a:bevelT w="317500" h="317500"/>
            <a:bevelB w="317500" h="317500"/>
          </a:sp3d>
        </c:spPr>
      </c:pivotFmt>
      <c:pivotFmt>
        <c:idx val="60"/>
        <c:spPr>
          <a:solidFill>
            <a:srgbClr val="003300"/>
          </a:solidFill>
          <a:ln>
            <a:noFill/>
          </a:ln>
          <a:effectLst/>
          <a:scene3d>
            <a:camera prst="orthographicFront"/>
            <a:lightRig rig="threePt" dir="t"/>
          </a:scene3d>
          <a:sp3d prstMaterial="plastic">
            <a:bevelT w="317500" h="317500"/>
            <a:bevelB w="317500" h="317500"/>
          </a:sp3d>
        </c:spPr>
      </c:pivotFmt>
      <c:pivotFmt>
        <c:idx val="61"/>
        <c:spPr>
          <a:solidFill>
            <a:srgbClr val="003300"/>
          </a:solidFill>
          <a:ln>
            <a:noFill/>
          </a:ln>
          <a:effectLst/>
          <a:scene3d>
            <a:camera prst="orthographicFront"/>
            <a:lightRig rig="threePt" dir="t"/>
          </a:scene3d>
          <a:sp3d prstMaterial="plastic">
            <a:bevelT w="317500" h="317500"/>
            <a:bevelB w="317500" h="317500"/>
          </a:sp3d>
        </c:spPr>
      </c:pivotFmt>
      <c:pivotFmt>
        <c:idx val="62"/>
        <c:spPr>
          <a:solidFill>
            <a:srgbClr val="003300"/>
          </a:solidFill>
          <a:ln>
            <a:noFill/>
          </a:ln>
          <a:effectLst/>
          <a:scene3d>
            <a:camera prst="orthographicFront"/>
            <a:lightRig rig="threePt" dir="t"/>
          </a:scene3d>
          <a:sp3d prstMaterial="plastic">
            <a:bevelT w="317500" h="317500"/>
            <a:bevelB w="317500" h="317500"/>
          </a:sp3d>
        </c:spPr>
      </c:pivotFmt>
      <c:pivotFmt>
        <c:idx val="63"/>
        <c:spPr>
          <a:solidFill>
            <a:srgbClr val="003300"/>
          </a:solidFill>
          <a:ln>
            <a:noFill/>
          </a:ln>
          <a:effectLst/>
          <a:scene3d>
            <a:camera prst="orthographicFront"/>
            <a:lightRig rig="threePt" dir="t"/>
          </a:scene3d>
          <a:sp3d prstMaterial="plastic">
            <a:bevelT w="317500" h="317500"/>
            <a:bevelB w="317500" h="317500"/>
          </a:sp3d>
        </c:spPr>
      </c:pivotFmt>
      <c:pivotFmt>
        <c:idx val="6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rgbClr val="FF0000"/>
          </a:solidFill>
          <a:ln>
            <a:noFill/>
          </a:ln>
          <a:effectLst/>
        </c:spPr>
      </c:pivotFmt>
      <c:pivotFmt>
        <c:idx val="66"/>
        <c:spPr>
          <a:solidFill>
            <a:srgbClr val="FF0000"/>
          </a:solidFill>
          <a:ln>
            <a:noFill/>
          </a:ln>
          <a:effectLst/>
        </c:spPr>
      </c:pivotFmt>
      <c:pivotFmt>
        <c:idx val="67"/>
        <c:spPr>
          <a:solidFill>
            <a:srgbClr val="FF0000"/>
          </a:solidFill>
          <a:ln>
            <a:noFill/>
          </a:ln>
          <a:effectLst/>
        </c:spPr>
      </c:pivotFmt>
      <c:pivotFmt>
        <c:idx val="68"/>
        <c:spPr>
          <a:solidFill>
            <a:srgbClr val="FF0000"/>
          </a:solidFill>
          <a:ln>
            <a:noFill/>
          </a:ln>
          <a:effectLst/>
        </c:spPr>
      </c:pivotFmt>
      <c:pivotFmt>
        <c:idx val="69"/>
        <c:spPr>
          <a:solidFill>
            <a:srgbClr val="FF0000"/>
          </a:solidFill>
          <a:ln>
            <a:noFill/>
          </a:ln>
          <a:effectLst/>
        </c:spPr>
      </c:pivotFmt>
      <c:pivotFmt>
        <c:idx val="70"/>
        <c:spPr>
          <a:solidFill>
            <a:srgbClr val="FF0000"/>
          </a:solidFill>
          <a:ln>
            <a:noFill/>
          </a:ln>
          <a:effectLst/>
        </c:spPr>
      </c:pivotFmt>
      <c:pivotFmt>
        <c:idx val="71"/>
        <c:spPr>
          <a:solidFill>
            <a:srgbClr val="FF0000"/>
          </a:solidFill>
          <a:ln>
            <a:noFill/>
          </a:ln>
          <a:effectLst/>
        </c:spPr>
      </c:pivotFmt>
      <c:pivotFmt>
        <c:idx val="72"/>
        <c:spPr>
          <a:solidFill>
            <a:srgbClr val="FF0000"/>
          </a:solidFill>
          <a:ln>
            <a:noFill/>
          </a:ln>
          <a:effectLst/>
        </c:spPr>
      </c:pivotFmt>
      <c:pivotFmt>
        <c:idx val="73"/>
        <c:spPr>
          <a:solidFill>
            <a:srgbClr val="FF0000"/>
          </a:solidFill>
          <a:ln>
            <a:noFill/>
          </a:ln>
          <a:effectLst/>
        </c:spPr>
      </c:pivotFmt>
      <c:pivotFmt>
        <c:idx val="74"/>
        <c:spPr>
          <a:solidFill>
            <a:srgbClr val="FF0000"/>
          </a:solidFill>
          <a:ln>
            <a:noFill/>
          </a:ln>
          <a:effectLst/>
        </c:spPr>
      </c:pivotFmt>
      <c:pivotFmt>
        <c:idx val="75"/>
        <c:spPr>
          <a:solidFill>
            <a:srgbClr val="FF0000"/>
          </a:solidFill>
          <a:ln>
            <a:noFill/>
          </a:ln>
          <a:effectLst/>
        </c:spPr>
      </c:pivotFmt>
      <c:pivotFmt>
        <c:idx val="76"/>
        <c:spPr>
          <a:solidFill>
            <a:srgbClr val="FF0000"/>
          </a:solidFill>
          <a:ln>
            <a:noFill/>
          </a:ln>
          <a:effectLst/>
        </c:spPr>
      </c:pivotFmt>
      <c:pivotFmt>
        <c:idx val="77"/>
        <c:spPr>
          <a:solidFill>
            <a:srgbClr val="FF0000"/>
          </a:solidFill>
          <a:ln>
            <a:noFill/>
          </a:ln>
          <a:effectLst/>
        </c:spPr>
      </c:pivotFmt>
      <c:pivotFmt>
        <c:idx val="78"/>
        <c:spPr>
          <a:solidFill>
            <a:srgbClr val="FF0000"/>
          </a:solidFill>
          <a:ln>
            <a:noFill/>
          </a:ln>
          <a:effectLst/>
        </c:spPr>
      </c:pivotFmt>
      <c:pivotFmt>
        <c:idx val="79"/>
        <c:spPr>
          <a:solidFill>
            <a:srgbClr val="FF0000"/>
          </a:solidFill>
          <a:ln>
            <a:noFill/>
          </a:ln>
          <a:effectLst/>
        </c:spPr>
      </c:pivotFmt>
      <c:pivotFmt>
        <c:idx val="80"/>
        <c:spPr>
          <a:solidFill>
            <a:schemeClr val="accent1"/>
          </a:solidFill>
          <a:ln>
            <a:noFill/>
          </a:ln>
          <a:effectLst/>
          <a:scene3d>
            <a:camera prst="orthographicFront"/>
            <a:lightRig rig="threePt" dir="t"/>
          </a:scene3d>
          <a:sp3d prstMaterial="plastic">
            <a:bevelT w="317500" h="317500"/>
            <a:bevelB w="317500" h="317500"/>
          </a:sp3d>
        </c:spPr>
      </c:pivotFmt>
      <c:pivotFmt>
        <c:idx val="81"/>
        <c:spPr>
          <a:solidFill>
            <a:srgbClr val="3F51B5"/>
          </a:solidFill>
          <a:ln>
            <a:noFill/>
          </a:ln>
          <a:effectLst/>
          <a:scene3d>
            <a:camera prst="orthographicFront"/>
            <a:lightRig rig="threePt" dir="t"/>
          </a:scene3d>
          <a:sp3d prstMaterial="plastic">
            <a:bevelT w="317500" h="317500"/>
            <a:bevelB w="317500" h="317500"/>
          </a:sp3d>
        </c:spPr>
      </c:pivotFmt>
      <c:pivotFmt>
        <c:idx val="82"/>
        <c:spPr>
          <a:solidFill>
            <a:schemeClr val="accent1"/>
          </a:solidFill>
          <a:ln>
            <a:noFill/>
          </a:ln>
          <a:effectLst/>
          <a:scene3d>
            <a:camera prst="orthographicFront"/>
            <a:lightRig rig="threePt" dir="t"/>
          </a:scene3d>
          <a:sp3d prstMaterial="plastic">
            <a:bevelT w="317500" h="317500"/>
            <a:bevelB w="317500" h="317500"/>
          </a:sp3d>
        </c:spPr>
      </c:pivotFmt>
    </c:pivotFmts>
    <c:plotArea>
      <c:layout>
        <c:manualLayout>
          <c:layoutTarget val="inner"/>
          <c:xMode val="edge"/>
          <c:yMode val="edge"/>
          <c:x val="0.31205587239623045"/>
          <c:y val="0.1702483902314979"/>
          <c:w val="0.68794412760376955"/>
          <c:h val="0.76965806609813914"/>
        </c:manualLayout>
      </c:layout>
      <c:barChart>
        <c:barDir val="bar"/>
        <c:grouping val="stacked"/>
        <c:varyColors val="0"/>
        <c:ser>
          <c:idx val="0"/>
          <c:order val="0"/>
          <c:tx>
            <c:strRef>
              <c:f>'Top 15 Performing Managers'!$B$3</c:f>
              <c:strCache>
                <c:ptCount val="1"/>
                <c:pt idx="0">
                  <c:v>Total</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CA3F-4D72-8A70-28EAB730924F}"/>
              </c:ext>
            </c:extLst>
          </c:dPt>
          <c:dPt>
            <c:idx val="1"/>
            <c:invertIfNegative val="0"/>
            <c:bubble3D val="0"/>
            <c:extLst>
              <c:ext xmlns:c16="http://schemas.microsoft.com/office/drawing/2014/chart" uri="{C3380CC4-5D6E-409C-BE32-E72D297353CC}">
                <c16:uniqueId val="{00000003-CA3F-4D72-8A70-28EAB730924F}"/>
              </c:ext>
            </c:extLst>
          </c:dPt>
          <c:dPt>
            <c:idx val="2"/>
            <c:invertIfNegative val="0"/>
            <c:bubble3D val="0"/>
            <c:extLst>
              <c:ext xmlns:c16="http://schemas.microsoft.com/office/drawing/2014/chart" uri="{C3380CC4-5D6E-409C-BE32-E72D297353CC}">
                <c16:uniqueId val="{00000005-CA3F-4D72-8A70-28EAB730924F}"/>
              </c:ext>
            </c:extLst>
          </c:dPt>
          <c:dPt>
            <c:idx val="3"/>
            <c:invertIfNegative val="0"/>
            <c:bubble3D val="0"/>
            <c:extLst>
              <c:ext xmlns:c16="http://schemas.microsoft.com/office/drawing/2014/chart" uri="{C3380CC4-5D6E-409C-BE32-E72D297353CC}">
                <c16:uniqueId val="{00000007-CA3F-4D72-8A70-28EAB730924F}"/>
              </c:ext>
            </c:extLst>
          </c:dPt>
          <c:dPt>
            <c:idx val="4"/>
            <c:invertIfNegative val="0"/>
            <c:bubble3D val="0"/>
            <c:extLst>
              <c:ext xmlns:c16="http://schemas.microsoft.com/office/drawing/2014/chart" uri="{C3380CC4-5D6E-409C-BE32-E72D297353CC}">
                <c16:uniqueId val="{00000009-CA3F-4D72-8A70-28EAB730924F}"/>
              </c:ext>
            </c:extLst>
          </c:dPt>
          <c:dPt>
            <c:idx val="5"/>
            <c:invertIfNegative val="0"/>
            <c:bubble3D val="0"/>
            <c:extLst>
              <c:ext xmlns:c16="http://schemas.microsoft.com/office/drawing/2014/chart" uri="{C3380CC4-5D6E-409C-BE32-E72D297353CC}">
                <c16:uniqueId val="{0000000B-CA3F-4D72-8A70-28EAB730924F}"/>
              </c:ext>
            </c:extLst>
          </c:dPt>
          <c:dPt>
            <c:idx val="6"/>
            <c:invertIfNegative val="0"/>
            <c:bubble3D val="0"/>
            <c:extLst>
              <c:ext xmlns:c16="http://schemas.microsoft.com/office/drawing/2014/chart" uri="{C3380CC4-5D6E-409C-BE32-E72D297353CC}">
                <c16:uniqueId val="{0000000D-CA3F-4D72-8A70-28EAB730924F}"/>
              </c:ext>
            </c:extLst>
          </c:dPt>
          <c:dPt>
            <c:idx val="7"/>
            <c:invertIfNegative val="0"/>
            <c:bubble3D val="0"/>
            <c:extLst>
              <c:ext xmlns:c16="http://schemas.microsoft.com/office/drawing/2014/chart" uri="{C3380CC4-5D6E-409C-BE32-E72D297353CC}">
                <c16:uniqueId val="{0000000F-CA3F-4D72-8A70-28EAB730924F}"/>
              </c:ext>
            </c:extLst>
          </c:dPt>
          <c:dPt>
            <c:idx val="8"/>
            <c:invertIfNegative val="0"/>
            <c:bubble3D val="0"/>
            <c:extLst>
              <c:ext xmlns:c16="http://schemas.microsoft.com/office/drawing/2014/chart" uri="{C3380CC4-5D6E-409C-BE32-E72D297353CC}">
                <c16:uniqueId val="{00000011-CA3F-4D72-8A70-28EAB730924F}"/>
              </c:ext>
            </c:extLst>
          </c:dPt>
          <c:dPt>
            <c:idx val="9"/>
            <c:invertIfNegative val="0"/>
            <c:bubble3D val="0"/>
            <c:extLst>
              <c:ext xmlns:c16="http://schemas.microsoft.com/office/drawing/2014/chart" uri="{C3380CC4-5D6E-409C-BE32-E72D297353CC}">
                <c16:uniqueId val="{00000013-CA3F-4D72-8A70-28EAB730924F}"/>
              </c:ext>
            </c:extLst>
          </c:dPt>
          <c:dPt>
            <c:idx val="10"/>
            <c:invertIfNegative val="0"/>
            <c:bubble3D val="0"/>
            <c:extLst>
              <c:ext xmlns:c16="http://schemas.microsoft.com/office/drawing/2014/chart" uri="{C3380CC4-5D6E-409C-BE32-E72D297353CC}">
                <c16:uniqueId val="{00000015-CA3F-4D72-8A70-28EAB730924F}"/>
              </c:ext>
            </c:extLst>
          </c:dPt>
          <c:dPt>
            <c:idx val="11"/>
            <c:invertIfNegative val="0"/>
            <c:bubble3D val="0"/>
            <c:extLst>
              <c:ext xmlns:c16="http://schemas.microsoft.com/office/drawing/2014/chart" uri="{C3380CC4-5D6E-409C-BE32-E72D297353CC}">
                <c16:uniqueId val="{00000017-CA3F-4D72-8A70-28EAB730924F}"/>
              </c:ext>
            </c:extLst>
          </c:dPt>
          <c:dPt>
            <c:idx val="12"/>
            <c:invertIfNegative val="0"/>
            <c:bubble3D val="0"/>
            <c:extLst>
              <c:ext xmlns:c16="http://schemas.microsoft.com/office/drawing/2014/chart" uri="{C3380CC4-5D6E-409C-BE32-E72D297353CC}">
                <c16:uniqueId val="{00000019-CA3F-4D72-8A70-28EAB730924F}"/>
              </c:ext>
            </c:extLst>
          </c:dPt>
          <c:dPt>
            <c:idx val="13"/>
            <c:invertIfNegative val="0"/>
            <c:bubble3D val="0"/>
            <c:extLst>
              <c:ext xmlns:c16="http://schemas.microsoft.com/office/drawing/2014/chart" uri="{C3380CC4-5D6E-409C-BE32-E72D297353CC}">
                <c16:uniqueId val="{0000001B-CA3F-4D72-8A70-28EAB730924F}"/>
              </c:ext>
            </c:extLst>
          </c:dPt>
          <c:dPt>
            <c:idx val="14"/>
            <c:invertIfNegative val="0"/>
            <c:bubble3D val="0"/>
            <c:extLst>
              <c:ext xmlns:c16="http://schemas.microsoft.com/office/drawing/2014/chart" uri="{C3380CC4-5D6E-409C-BE32-E72D297353CC}">
                <c16:uniqueId val="{0000001D-CA3F-4D72-8A70-28EAB730924F}"/>
              </c:ext>
            </c:extLst>
          </c:dPt>
          <c:dPt>
            <c:idx val="15"/>
            <c:invertIfNegative val="0"/>
            <c:bubble3D val="0"/>
            <c:extLst>
              <c:ext xmlns:c16="http://schemas.microsoft.com/office/drawing/2014/chart" uri="{C3380CC4-5D6E-409C-BE32-E72D297353CC}">
                <c16:uniqueId val="{0000001F-6889-40CC-A7D0-709445E86519}"/>
              </c:ext>
            </c:extLst>
          </c:dPt>
          <c:dPt>
            <c:idx val="16"/>
            <c:invertIfNegative val="0"/>
            <c:bubble3D val="0"/>
            <c:extLst>
              <c:ext xmlns:c16="http://schemas.microsoft.com/office/drawing/2014/chart" uri="{C3380CC4-5D6E-409C-BE32-E72D297353CC}">
                <c16:uniqueId val="{00000021-6889-40CC-A7D0-709445E86519}"/>
              </c:ext>
            </c:extLst>
          </c:dPt>
          <c:cat>
            <c:strRef>
              <c:f>'Top 15 Performing Managers'!$A$4:$A$19</c:f>
              <c:strCache>
                <c:ptCount val="15"/>
                <c:pt idx="0">
                  <c:v>Alex Sweetwater</c:v>
                </c:pt>
                <c:pt idx="1">
                  <c:v>Lynn Daneault</c:v>
                </c:pt>
                <c:pt idx="2">
                  <c:v>Peter Monroe</c:v>
                </c:pt>
                <c:pt idx="3">
                  <c:v>John Smith</c:v>
                </c:pt>
                <c:pt idx="4">
                  <c:v>Simon Roup</c:v>
                </c:pt>
                <c:pt idx="5">
                  <c:v>Janet King</c:v>
                </c:pt>
                <c:pt idx="6">
                  <c:v>Ketsia Liebig</c:v>
                </c:pt>
                <c:pt idx="7">
                  <c:v>David Stanley</c:v>
                </c:pt>
                <c:pt idx="8">
                  <c:v>Webster Butler</c:v>
                </c:pt>
                <c:pt idx="9">
                  <c:v>Amy Dunn</c:v>
                </c:pt>
                <c:pt idx="10">
                  <c:v>Kelley Spirea</c:v>
                </c:pt>
                <c:pt idx="11">
                  <c:v>Brannon Miller</c:v>
                </c:pt>
                <c:pt idx="12">
                  <c:v>Kissy Sullivan</c:v>
                </c:pt>
                <c:pt idx="13">
                  <c:v>Michael Albert</c:v>
                </c:pt>
                <c:pt idx="14">
                  <c:v>Elijiah Gray</c:v>
                </c:pt>
              </c:strCache>
            </c:strRef>
          </c:cat>
          <c:val>
            <c:numRef>
              <c:f>'Top 15 Performing Managers'!$B$4:$B$19</c:f>
              <c:numCache>
                <c:formatCode>0</c:formatCode>
                <c:ptCount val="15"/>
                <c:pt idx="0">
                  <c:v>9</c:v>
                </c:pt>
                <c:pt idx="1">
                  <c:v>13</c:v>
                </c:pt>
                <c:pt idx="2">
                  <c:v>14</c:v>
                </c:pt>
                <c:pt idx="3">
                  <c:v>14</c:v>
                </c:pt>
                <c:pt idx="4">
                  <c:v>17</c:v>
                </c:pt>
                <c:pt idx="5">
                  <c:v>19</c:v>
                </c:pt>
                <c:pt idx="6">
                  <c:v>21</c:v>
                </c:pt>
                <c:pt idx="7">
                  <c:v>21</c:v>
                </c:pt>
                <c:pt idx="8">
                  <c:v>21</c:v>
                </c:pt>
                <c:pt idx="9">
                  <c:v>21</c:v>
                </c:pt>
                <c:pt idx="10">
                  <c:v>22</c:v>
                </c:pt>
                <c:pt idx="11">
                  <c:v>22</c:v>
                </c:pt>
                <c:pt idx="12">
                  <c:v>22</c:v>
                </c:pt>
                <c:pt idx="13">
                  <c:v>22</c:v>
                </c:pt>
                <c:pt idx="14">
                  <c:v>22</c:v>
                </c:pt>
              </c:numCache>
            </c:numRef>
          </c:val>
          <c:extLst>
            <c:ext xmlns:c16="http://schemas.microsoft.com/office/drawing/2014/chart" uri="{C3380CC4-5D6E-409C-BE32-E72D297353CC}">
              <c16:uniqueId val="{0000001E-CA3F-4D72-8A70-28EAB730924F}"/>
            </c:ext>
          </c:extLst>
        </c:ser>
        <c:dLbls>
          <c:showLegendKey val="0"/>
          <c:showVal val="0"/>
          <c:showCatName val="0"/>
          <c:showSerName val="0"/>
          <c:showPercent val="0"/>
          <c:showBubbleSize val="0"/>
        </c:dLbls>
        <c:gapWidth val="100"/>
        <c:overlap val="100"/>
        <c:axId val="1571455568"/>
        <c:axId val="1571469712"/>
      </c:barChart>
      <c:catAx>
        <c:axId val="157145556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rgbClr val="003300"/>
                </a:solidFill>
                <a:latin typeface="Rockwell Condensed" panose="02060603050405020104" pitchFamily="18" charset="0"/>
                <a:ea typeface="+mn-ea"/>
                <a:cs typeface="+mn-cs"/>
              </a:defRPr>
            </a:pPr>
            <a:endParaRPr lang="en-US"/>
          </a:p>
        </c:txPr>
        <c:crossAx val="1571469712"/>
        <c:crosses val="autoZero"/>
        <c:auto val="1"/>
        <c:lblAlgn val="ctr"/>
        <c:lblOffset val="100"/>
        <c:noMultiLvlLbl val="0"/>
      </c:catAx>
      <c:valAx>
        <c:axId val="1571469712"/>
        <c:scaling>
          <c:orientation val="minMax"/>
        </c:scaling>
        <c:delete val="1"/>
        <c:axPos val="b"/>
        <c:numFmt formatCode="0" sourceLinked="1"/>
        <c:majorTickMark val="none"/>
        <c:minorTickMark val="none"/>
        <c:tickLblPos val="nextTo"/>
        <c:crossAx val="157145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by Department!PivotTable1</c:name>
    <c:fmtId val="20"/>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dLbl>
          <c:idx val="0"/>
          <c:layout>
            <c:manualLayout>
              <c:x val="-2.0540924711348657E-7"/>
              <c:y val="-4.8463364642408338E-3"/>
            </c:manualLayout>
          </c:layout>
          <c:spPr>
            <a:noFill/>
            <a:ln>
              <a:noFill/>
            </a:ln>
            <a:effectLst/>
          </c:spPr>
          <c:txPr>
            <a:bodyPr rot="0" spcFirstLastPara="1" vertOverflow="ellipsis" vert="horz" wrap="square" lIns="38100" tIns="19050" rIns="38100" bIns="19050" anchor="ctr" anchorCtr="0">
              <a:noAutofit/>
            </a:bodyPr>
            <a:lstStyle/>
            <a:p>
              <a:pPr algn="ctr">
                <a:defRPr sz="6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92102685730007"/>
                  <c:h val="0.10909532890175018"/>
                </c:manualLayout>
              </c15:layout>
            </c:ext>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2.0540924711348657E-7"/>
              <c:y val="-4.8463364642408338E-3"/>
            </c:manualLayout>
          </c:layout>
          <c:spPr>
            <a:noFill/>
            <a:ln>
              <a:noFill/>
            </a:ln>
            <a:effectLst/>
          </c:spPr>
          <c:txPr>
            <a:bodyPr rot="0" spcFirstLastPara="1" vertOverflow="ellipsis" vert="horz" wrap="square" lIns="38100" tIns="19050" rIns="38100" bIns="19050" anchor="ctr" anchorCtr="0">
              <a:noAutofit/>
            </a:bodyPr>
            <a:lstStyle/>
            <a:p>
              <a:pPr algn="ctr">
                <a:defRPr sz="6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92102685730007"/>
                  <c:h val="0.10909532890175018"/>
                </c:manualLayout>
              </c15:layout>
            </c:ext>
          </c:extLst>
        </c:dLbl>
      </c:pivotFmt>
      <c:pivotFmt>
        <c:idx val="4"/>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rgbClr val="800080"/>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3300"/>
          </a:solidFill>
          <a:ln>
            <a:noFill/>
          </a:ln>
          <a:effectLst/>
        </c:spPr>
        <c:dLbl>
          <c:idx val="0"/>
          <c:layout>
            <c:manualLayout>
              <c:x val="-3.0501603966170895E-2"/>
              <c:y val="-1.4796098248912938E-2"/>
            </c:manualLayout>
          </c:layout>
          <c:tx>
            <c:rich>
              <a:bodyPr rot="0" spcFirstLastPara="1" vertOverflow="ellipsis" vert="horz" wrap="square" lIns="38100" tIns="19050" rIns="38100" bIns="19050" anchor="b" anchorCtr="0">
                <a:noAutofit/>
              </a:bodyPr>
              <a:lstStyle/>
              <a:p>
                <a:pPr algn="r">
                  <a:defRPr sz="800" b="1" i="0" u="none" strike="noStrike" kern="1200" baseline="0">
                    <a:solidFill>
                      <a:srgbClr val="800080"/>
                    </a:solidFill>
                    <a:latin typeface="Comic Sans MS" panose="030F0702030302020204" pitchFamily="66" charset="0"/>
                    <a:ea typeface="+mn-ea"/>
                    <a:cs typeface="+mn-cs"/>
                  </a:defRPr>
                </a:pPr>
                <a:fld id="{BED45506-29E6-4BB4-BECB-5A46211FAD3F}" type="VALUE">
                  <a:rPr lang="en-US" sz="600">
                    <a:solidFill>
                      <a:srgbClr val="800080"/>
                    </a:solidFill>
                  </a:rPr>
                  <a:pPr algn="r">
                    <a:defRPr sz="800" b="1" i="0" u="none" strike="noStrike" kern="1200" baseline="0">
                      <a:solidFill>
                        <a:srgbClr val="800080"/>
                      </a:solidFill>
                      <a:latin typeface="Comic Sans MS" panose="030F0702030302020204" pitchFamily="66" charset="0"/>
                      <a:ea typeface="+mn-ea"/>
                      <a:cs typeface="+mn-cs"/>
                    </a:defRPr>
                  </a:pPr>
                  <a:t>[VALUE]</a:t>
                </a:fld>
                <a:endParaRPr lang="en-US"/>
              </a:p>
            </c:rich>
          </c:tx>
          <c:spPr>
            <a:noFill/>
            <a:ln>
              <a:noFill/>
            </a:ln>
            <a:effectLst/>
          </c:spPr>
          <c:txPr>
            <a:bodyPr rot="0" spcFirstLastPara="1" vertOverflow="ellipsis" vert="horz" wrap="square" lIns="38100" tIns="19050" rIns="38100" bIns="19050" anchor="b" anchorCtr="0">
              <a:noAutofit/>
            </a:bodyPr>
            <a:lstStyle/>
            <a:p>
              <a:pPr algn="r">
                <a:defRPr sz="800" b="1" i="0" u="none" strike="noStrike" kern="1200" baseline="0">
                  <a:solidFill>
                    <a:srgbClr val="800080"/>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49559981472899"/>
                  <c:h val="0.12899596505660674"/>
                </c:manualLayout>
              </c15:layout>
              <c15:dlblFieldTable/>
              <c15:showDataLabelsRange val="0"/>
            </c:ext>
          </c:extLst>
        </c:dLbl>
      </c:pivotFmt>
      <c:pivotFmt>
        <c:idx val="6"/>
        <c:spPr>
          <a:solidFill>
            <a:schemeClr val="accent2">
              <a:lumMod val="75000"/>
            </a:schemeClr>
          </a:solidFill>
          <a:ln>
            <a:noFill/>
          </a:ln>
          <a:effectLst/>
        </c:spPr>
      </c:pivotFmt>
      <c:pivotFmt>
        <c:idx val="7"/>
        <c:spPr>
          <a:solidFill>
            <a:schemeClr val="accent4"/>
          </a:solidFill>
          <a:ln>
            <a:noFill/>
          </a:ln>
          <a:effectLst/>
        </c:spPr>
      </c:pivotFmt>
      <c:pivotFmt>
        <c:idx val="8"/>
        <c:spPr>
          <a:solidFill>
            <a:srgbClr val="00B050"/>
          </a:solidFill>
          <a:ln>
            <a:noFill/>
          </a:ln>
          <a:effectLst/>
        </c:spPr>
      </c:pivotFmt>
      <c:pivotFmt>
        <c:idx val="9"/>
        <c:spPr>
          <a:solidFill>
            <a:srgbClr val="002060"/>
          </a:solidFill>
          <a:ln>
            <a:noFill/>
          </a:ln>
          <a:effectLst/>
        </c:spPr>
      </c:pivotFmt>
      <c:pivotFmt>
        <c:idx val="10"/>
        <c:spPr>
          <a:solidFill>
            <a:schemeClr val="accent1">
              <a:lumMod val="75000"/>
            </a:schemeClr>
          </a:solidFill>
          <a:ln>
            <a:noFill/>
          </a:ln>
          <a:effectLst/>
        </c:spPr>
      </c:pivotFmt>
      <c:pivotFmt>
        <c:idx val="11"/>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rgbClr val="800080"/>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75000"/>
            </a:schemeClr>
          </a:solidFill>
          <a:ln>
            <a:noFill/>
          </a:ln>
          <a:effectLst/>
        </c:spPr>
      </c:pivotFmt>
      <c:pivotFmt>
        <c:idx val="13"/>
        <c:spPr>
          <a:solidFill>
            <a:srgbClr val="002060"/>
          </a:solidFill>
          <a:ln>
            <a:noFill/>
          </a:ln>
          <a:effectLst/>
        </c:spPr>
      </c:pivotFmt>
      <c:pivotFmt>
        <c:idx val="14"/>
        <c:spPr>
          <a:solidFill>
            <a:srgbClr val="00B050"/>
          </a:solidFill>
          <a:ln>
            <a:noFill/>
          </a:ln>
          <a:effectLst/>
        </c:spPr>
      </c:pivotFmt>
      <c:pivotFmt>
        <c:idx val="15"/>
        <c:spPr>
          <a:solidFill>
            <a:schemeClr val="accent4"/>
          </a:solidFill>
          <a:ln>
            <a:noFill/>
          </a:ln>
          <a:effectLst/>
        </c:spPr>
      </c:pivotFmt>
      <c:pivotFmt>
        <c:idx val="16"/>
        <c:spPr>
          <a:solidFill>
            <a:schemeClr val="accent2">
              <a:lumMod val="75000"/>
            </a:schemeClr>
          </a:solidFill>
          <a:ln>
            <a:noFill/>
          </a:ln>
          <a:effectLst/>
        </c:spPr>
      </c:pivotFmt>
      <c:pivotFmt>
        <c:idx val="17"/>
        <c:spPr>
          <a:solidFill>
            <a:srgbClr val="003300"/>
          </a:solidFill>
          <a:ln>
            <a:noFill/>
          </a:ln>
          <a:effectLst/>
        </c:spPr>
        <c:dLbl>
          <c:idx val="0"/>
          <c:layout>
            <c:manualLayout>
              <c:x val="-3.0501603966170895E-2"/>
              <c:y val="-1.4796098248912938E-2"/>
            </c:manualLayout>
          </c:layout>
          <c:tx>
            <c:rich>
              <a:bodyPr rot="0" spcFirstLastPara="1" vertOverflow="ellipsis" vert="horz" wrap="square" lIns="38100" tIns="19050" rIns="38100" bIns="19050" anchor="b" anchorCtr="0">
                <a:noAutofit/>
              </a:bodyPr>
              <a:lstStyle/>
              <a:p>
                <a:pPr algn="r">
                  <a:defRPr sz="800" b="1" i="0" u="none" strike="noStrike" kern="1200" baseline="0">
                    <a:solidFill>
                      <a:srgbClr val="800080"/>
                    </a:solidFill>
                    <a:latin typeface="Comic Sans MS" panose="030F0702030302020204" pitchFamily="66" charset="0"/>
                    <a:ea typeface="+mn-ea"/>
                    <a:cs typeface="+mn-cs"/>
                  </a:defRPr>
                </a:pPr>
                <a:fld id="{BED45506-29E6-4BB4-BECB-5A46211FAD3F}" type="VALUE">
                  <a:rPr lang="en-US" sz="600">
                    <a:solidFill>
                      <a:srgbClr val="800080"/>
                    </a:solidFill>
                  </a:rPr>
                  <a:pPr algn="r">
                    <a:defRPr sz="800" b="1" i="0" u="none" strike="noStrike" kern="1200" baseline="0">
                      <a:solidFill>
                        <a:srgbClr val="800080"/>
                      </a:solidFill>
                      <a:latin typeface="Comic Sans MS" panose="030F0702030302020204" pitchFamily="66" charset="0"/>
                      <a:ea typeface="+mn-ea"/>
                      <a:cs typeface="+mn-cs"/>
                    </a:defRPr>
                  </a:pPr>
                  <a:t>[VALUE]</a:t>
                </a:fld>
                <a:endParaRPr lang="en-US"/>
              </a:p>
            </c:rich>
          </c:tx>
          <c:spPr>
            <a:noFill/>
            <a:ln>
              <a:noFill/>
            </a:ln>
            <a:effectLst/>
          </c:spPr>
          <c:txPr>
            <a:bodyPr rot="0" spcFirstLastPara="1" vertOverflow="ellipsis" vert="horz" wrap="square" lIns="38100" tIns="19050" rIns="38100" bIns="19050" anchor="b" anchorCtr="0">
              <a:noAutofit/>
            </a:bodyPr>
            <a:lstStyle/>
            <a:p>
              <a:pPr algn="r">
                <a:defRPr sz="800" b="1" i="0" u="none" strike="noStrike" kern="1200" baseline="0">
                  <a:solidFill>
                    <a:srgbClr val="800080"/>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49559981472899"/>
                  <c:h val="0.12899596505660674"/>
                </c:manualLayout>
              </c15:layout>
              <c15:dlblFieldTable/>
              <c15:showDataLabelsRange val="0"/>
            </c:ext>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rgbClr val="8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FF0000"/>
          </a:solidFill>
          <a:ln>
            <a:noFill/>
          </a:ln>
          <a:effectLst/>
        </c:spPr>
      </c:pivotFmt>
      <c:pivotFmt>
        <c:idx val="23"/>
        <c:spPr>
          <a:solidFill>
            <a:srgbClr val="FF0000"/>
          </a:solidFill>
          <a:ln>
            <a:noFill/>
          </a:ln>
          <a:effectLst/>
        </c:spPr>
      </c:pivotFmt>
      <c:pivotFmt>
        <c:idx val="24"/>
        <c:spPr>
          <a:solidFill>
            <a:srgbClr val="FF0000"/>
          </a:solidFill>
          <a:ln>
            <a:noFill/>
          </a:ln>
          <a:effectLst/>
        </c:spPr>
        <c:dLbl>
          <c:idx val="0"/>
          <c:layout>
            <c:manualLayout>
              <c:x val="-5.0432156304605763E-3"/>
              <c:y val="-1.4796478019162583E-2"/>
            </c:manualLayout>
          </c:layout>
          <c:tx>
            <c:rich>
              <a:bodyPr rot="0" spcFirstLastPara="1" vertOverflow="ellipsis" vert="horz" wrap="square" lIns="38100" tIns="19050" rIns="38100" bIns="19050" anchor="b" anchorCtr="0">
                <a:noAutofit/>
              </a:bodyPr>
              <a:lstStyle/>
              <a:p>
                <a:pPr algn="r">
                  <a:defRPr sz="800" b="1" i="0" u="none" strike="noStrike" kern="1200" baseline="0">
                    <a:solidFill>
                      <a:srgbClr val="800000"/>
                    </a:solidFill>
                    <a:latin typeface="Arial Black" panose="020B0A04020102020204" pitchFamily="34" charset="0"/>
                    <a:ea typeface="+mn-ea"/>
                    <a:cs typeface="+mn-cs"/>
                  </a:defRPr>
                </a:pPr>
                <a:r>
                  <a:rPr lang="en-US" sz="600">
                    <a:solidFill>
                      <a:srgbClr val="800000"/>
                    </a:solidFill>
                    <a:latin typeface="Arial Black" panose="020B0A04020102020204" pitchFamily="34" charset="0"/>
                  </a:rPr>
                  <a:t> </a:t>
                </a:r>
                <a:fld id="{BED45506-29E6-4BB4-BECB-5A46211FAD3F}" type="VALUE">
                  <a:rPr lang="en-US" sz="600">
                    <a:solidFill>
                      <a:srgbClr val="800000"/>
                    </a:solidFill>
                    <a:latin typeface="Arial Black" panose="020B0A04020102020204" pitchFamily="34" charset="0"/>
                  </a:rPr>
                  <a:pPr algn="r">
                    <a:defRPr sz="800" b="1">
                      <a:solidFill>
                        <a:srgbClr val="800000"/>
                      </a:solidFill>
                      <a:latin typeface="Arial Black" panose="020B0A04020102020204" pitchFamily="34" charset="0"/>
                    </a:defRPr>
                  </a:pPr>
                  <a:t>[VALUE]</a:t>
                </a:fld>
                <a:endParaRPr lang="en-US" sz="600">
                  <a:solidFill>
                    <a:srgbClr val="800000"/>
                  </a:solidFill>
                  <a:latin typeface="Arial Black" panose="020B0A04020102020204" pitchFamily="34" charset="0"/>
                </a:endParaRPr>
              </a:p>
            </c:rich>
          </c:tx>
          <c:spPr>
            <a:noFill/>
            <a:ln>
              <a:noFill/>
            </a:ln>
            <a:effectLst/>
          </c:spPr>
          <c:txPr>
            <a:bodyPr rot="0" spcFirstLastPara="1" vertOverflow="ellipsis" vert="horz" wrap="square" lIns="38100" tIns="19050" rIns="38100" bIns="19050" anchor="b" anchorCtr="0">
              <a:noAutofit/>
            </a:bodyPr>
            <a:lstStyle/>
            <a:p>
              <a:pPr algn="r">
                <a:defRPr sz="800" b="1" i="0" u="none" strike="noStrike" kern="1200" baseline="0">
                  <a:solidFill>
                    <a:srgbClr val="8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503726867860735"/>
                  <c:h val="0.12899595994448462"/>
                </c:manualLayout>
              </c15:layout>
              <c15:dlblFieldTable/>
              <c15:showDataLabelsRange val="0"/>
            </c:ext>
          </c:extLst>
        </c:dLbl>
      </c:pivotFmt>
    </c:pivotFmts>
    <c:plotArea>
      <c:layout>
        <c:manualLayout>
          <c:layoutTarget val="inner"/>
          <c:xMode val="edge"/>
          <c:yMode val="edge"/>
          <c:x val="0.35486181874324535"/>
          <c:y val="0.14664754509564421"/>
          <c:w val="0.64282172842475938"/>
          <c:h val="0.85335190961240648"/>
        </c:manualLayout>
      </c:layout>
      <c:barChart>
        <c:barDir val="bar"/>
        <c:grouping val="clustered"/>
        <c:varyColors val="0"/>
        <c:ser>
          <c:idx val="0"/>
          <c:order val="0"/>
          <c:tx>
            <c:strRef>
              <c:f>'Average Salary by Department'!$B$3</c:f>
              <c:strCache>
                <c:ptCount val="1"/>
                <c:pt idx="0">
                  <c:v>Total</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806-4464-BE34-0CDB127DB56D}"/>
              </c:ext>
            </c:extLst>
          </c:dPt>
          <c:dPt>
            <c:idx val="1"/>
            <c:invertIfNegative val="0"/>
            <c:bubble3D val="0"/>
            <c:spPr>
              <a:solidFill>
                <a:srgbClr val="FF0000"/>
              </a:solidFill>
              <a:ln>
                <a:noFill/>
              </a:ln>
              <a:effectLst/>
            </c:spPr>
            <c:extLst>
              <c:ext xmlns:c16="http://schemas.microsoft.com/office/drawing/2014/chart" uri="{C3380CC4-5D6E-409C-BE32-E72D297353CC}">
                <c16:uniqueId val="{00000003-9806-4464-BE34-0CDB127DB56D}"/>
              </c:ext>
            </c:extLst>
          </c:dPt>
          <c:dPt>
            <c:idx val="2"/>
            <c:invertIfNegative val="0"/>
            <c:bubble3D val="0"/>
            <c:spPr>
              <a:solidFill>
                <a:srgbClr val="FF0000"/>
              </a:solidFill>
              <a:ln>
                <a:noFill/>
              </a:ln>
              <a:effectLst/>
            </c:spPr>
            <c:extLst>
              <c:ext xmlns:c16="http://schemas.microsoft.com/office/drawing/2014/chart" uri="{C3380CC4-5D6E-409C-BE32-E72D297353CC}">
                <c16:uniqueId val="{00000005-9806-4464-BE34-0CDB127DB56D}"/>
              </c:ext>
            </c:extLst>
          </c:dPt>
          <c:dPt>
            <c:idx val="3"/>
            <c:invertIfNegative val="0"/>
            <c:bubble3D val="0"/>
            <c:spPr>
              <a:solidFill>
                <a:srgbClr val="FF0000"/>
              </a:solidFill>
              <a:ln>
                <a:noFill/>
              </a:ln>
              <a:effectLst/>
            </c:spPr>
            <c:extLst>
              <c:ext xmlns:c16="http://schemas.microsoft.com/office/drawing/2014/chart" uri="{C3380CC4-5D6E-409C-BE32-E72D297353CC}">
                <c16:uniqueId val="{00000007-9806-4464-BE34-0CDB127DB56D}"/>
              </c:ext>
            </c:extLst>
          </c:dPt>
          <c:dPt>
            <c:idx val="4"/>
            <c:invertIfNegative val="0"/>
            <c:bubble3D val="0"/>
            <c:spPr>
              <a:solidFill>
                <a:srgbClr val="FF0000"/>
              </a:solidFill>
              <a:ln>
                <a:noFill/>
              </a:ln>
              <a:effectLst/>
            </c:spPr>
            <c:extLst>
              <c:ext xmlns:c16="http://schemas.microsoft.com/office/drawing/2014/chart" uri="{C3380CC4-5D6E-409C-BE32-E72D297353CC}">
                <c16:uniqueId val="{00000009-9806-4464-BE34-0CDB127DB56D}"/>
              </c:ext>
            </c:extLst>
          </c:dPt>
          <c:dPt>
            <c:idx val="5"/>
            <c:invertIfNegative val="0"/>
            <c:bubble3D val="0"/>
            <c:spPr>
              <a:solidFill>
                <a:srgbClr val="FF0000"/>
              </a:solidFill>
              <a:ln>
                <a:noFill/>
              </a:ln>
              <a:effectLst/>
            </c:spPr>
            <c:extLst>
              <c:ext xmlns:c16="http://schemas.microsoft.com/office/drawing/2014/chart" uri="{C3380CC4-5D6E-409C-BE32-E72D297353CC}">
                <c16:uniqueId val="{0000000B-9806-4464-BE34-0CDB127DB56D}"/>
              </c:ext>
            </c:extLst>
          </c:dPt>
          <c:dLbls>
            <c:dLbl>
              <c:idx val="5"/>
              <c:layout>
                <c:manualLayout>
                  <c:x val="-5.0432156304605763E-3"/>
                  <c:y val="-1.4796478019162583E-2"/>
                </c:manualLayout>
              </c:layout>
              <c:tx>
                <c:rich>
                  <a:bodyPr rot="0" spcFirstLastPara="1" vertOverflow="ellipsis" vert="horz" wrap="square" lIns="38100" tIns="19050" rIns="38100" bIns="19050" anchor="b" anchorCtr="0">
                    <a:noAutofit/>
                  </a:bodyPr>
                  <a:lstStyle/>
                  <a:p>
                    <a:pPr algn="r">
                      <a:defRPr sz="800" b="1" i="0" u="none" strike="noStrike" kern="1200" baseline="0">
                        <a:solidFill>
                          <a:srgbClr val="800000"/>
                        </a:solidFill>
                        <a:latin typeface="Arial Black" panose="020B0A04020102020204" pitchFamily="34" charset="0"/>
                        <a:ea typeface="+mn-ea"/>
                        <a:cs typeface="+mn-cs"/>
                      </a:defRPr>
                    </a:pPr>
                    <a:r>
                      <a:rPr lang="en-US" sz="600">
                        <a:solidFill>
                          <a:srgbClr val="800000"/>
                        </a:solidFill>
                        <a:latin typeface="Arial Black" panose="020B0A04020102020204" pitchFamily="34" charset="0"/>
                      </a:rPr>
                      <a:t> </a:t>
                    </a:r>
                    <a:fld id="{BED45506-29E6-4BB4-BECB-5A46211FAD3F}" type="VALUE">
                      <a:rPr lang="en-US" sz="600">
                        <a:solidFill>
                          <a:srgbClr val="800000"/>
                        </a:solidFill>
                        <a:latin typeface="Arial Black" panose="020B0A04020102020204" pitchFamily="34" charset="0"/>
                      </a:rPr>
                      <a:pPr algn="r">
                        <a:defRPr sz="800" b="1">
                          <a:solidFill>
                            <a:srgbClr val="800000"/>
                          </a:solidFill>
                          <a:latin typeface="Arial Black" panose="020B0A04020102020204" pitchFamily="34" charset="0"/>
                        </a:defRPr>
                      </a:pPr>
                      <a:t>[VALUE]</a:t>
                    </a:fld>
                    <a:endParaRPr lang="en-US" sz="600">
                      <a:solidFill>
                        <a:srgbClr val="800000"/>
                      </a:solidFill>
                      <a:latin typeface="Arial Black" panose="020B0A04020102020204" pitchFamily="34" charset="0"/>
                    </a:endParaRPr>
                  </a:p>
                </c:rich>
              </c:tx>
              <c:spPr>
                <a:noFill/>
                <a:ln>
                  <a:noFill/>
                </a:ln>
                <a:effectLst/>
              </c:spPr>
              <c:txPr>
                <a:bodyPr rot="0" spcFirstLastPara="1" vertOverflow="ellipsis" vert="horz" wrap="square" lIns="38100" tIns="19050" rIns="38100" bIns="19050" anchor="b" anchorCtr="0">
                  <a:noAutofit/>
                </a:bodyPr>
                <a:lstStyle/>
                <a:p>
                  <a:pPr algn="r">
                    <a:defRPr sz="800" b="1" i="0" u="none" strike="noStrike" kern="1200" baseline="0">
                      <a:solidFill>
                        <a:srgbClr val="8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503726867860735"/>
                      <c:h val="0.12899595994448462"/>
                    </c:manualLayout>
                  </c15:layout>
                  <c15:dlblFieldTable/>
                  <c15:showDataLabelsRange val="0"/>
                </c:ext>
                <c:ext xmlns:c16="http://schemas.microsoft.com/office/drawing/2014/chart" uri="{C3380CC4-5D6E-409C-BE32-E72D297353CC}">
                  <c16:uniqueId val="{0000000B-9806-4464-BE34-0CDB127DB56D}"/>
                </c:ext>
              </c:extLst>
            </c:dLbl>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rgbClr val="8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Department'!$A$4:$A$10</c:f>
              <c:strCache>
                <c:ptCount val="6"/>
                <c:pt idx="0">
                  <c:v>Production       </c:v>
                </c:pt>
                <c:pt idx="1">
                  <c:v>Sales</c:v>
                </c:pt>
                <c:pt idx="2">
                  <c:v>Admin Offices</c:v>
                </c:pt>
                <c:pt idx="3">
                  <c:v>Software Engineering</c:v>
                </c:pt>
                <c:pt idx="4">
                  <c:v>IT/IS</c:v>
                </c:pt>
                <c:pt idx="5">
                  <c:v>Executive Office</c:v>
                </c:pt>
              </c:strCache>
            </c:strRef>
          </c:cat>
          <c:val>
            <c:numRef>
              <c:f>'Average Salary by Department'!$B$4:$B$10</c:f>
              <c:numCache>
                <c:formatCode>[&gt;=1000000]"$"#,###,,"M";[&gt;=1000]"$"#,###,"K";"$"0</c:formatCode>
                <c:ptCount val="6"/>
                <c:pt idx="0">
                  <c:v>59953.545454545456</c:v>
                </c:pt>
                <c:pt idx="1">
                  <c:v>69061.258064516136</c:v>
                </c:pt>
                <c:pt idx="2">
                  <c:v>71791.888888888891</c:v>
                </c:pt>
                <c:pt idx="3">
                  <c:v>94989.454545454544</c:v>
                </c:pt>
                <c:pt idx="4">
                  <c:v>97064.639999999999</c:v>
                </c:pt>
                <c:pt idx="5">
                  <c:v>250000</c:v>
                </c:pt>
              </c:numCache>
            </c:numRef>
          </c:val>
          <c:extLst>
            <c:ext xmlns:c16="http://schemas.microsoft.com/office/drawing/2014/chart" uri="{C3380CC4-5D6E-409C-BE32-E72D297353CC}">
              <c16:uniqueId val="{0000000C-9806-4464-BE34-0CDB127DB56D}"/>
            </c:ext>
          </c:extLst>
        </c:ser>
        <c:dLbls>
          <c:showLegendKey val="0"/>
          <c:showVal val="0"/>
          <c:showCatName val="0"/>
          <c:showSerName val="0"/>
          <c:showPercent val="0"/>
          <c:showBubbleSize val="0"/>
        </c:dLbls>
        <c:gapWidth val="100"/>
        <c:axId val="1779754448"/>
        <c:axId val="1779764848"/>
      </c:barChart>
      <c:catAx>
        <c:axId val="177975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003300"/>
                </a:solidFill>
                <a:latin typeface="Rockwell Condensed" panose="02060603050405020104" pitchFamily="18" charset="0"/>
                <a:ea typeface="+mn-ea"/>
                <a:cs typeface="+mn-cs"/>
              </a:defRPr>
            </a:pPr>
            <a:endParaRPr lang="en-US"/>
          </a:p>
        </c:txPr>
        <c:crossAx val="1779764848"/>
        <c:crosses val="autoZero"/>
        <c:auto val="1"/>
        <c:lblAlgn val="ctr"/>
        <c:lblOffset val="100"/>
        <c:noMultiLvlLbl val="0"/>
      </c:catAx>
      <c:valAx>
        <c:axId val="1779764848"/>
        <c:scaling>
          <c:orientation val="minMax"/>
        </c:scaling>
        <c:delete val="1"/>
        <c:axPos val="b"/>
        <c:numFmt formatCode="[&gt;=1000000]&quot;$&quot;#,###,,&quot;M&quot;;[&gt;=1000]&quot;$&quot;#,###,&quot;K&quot;;&quot;$&quot;0" sourceLinked="1"/>
        <c:majorTickMark val="none"/>
        <c:minorTickMark val="none"/>
        <c:tickLblPos val="nextTo"/>
        <c:crossAx val="177975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Per Year!PivotTable1</c:name>
    <c:fmtId val="24"/>
  </c:pivotSource>
  <c:chart>
    <c:autoTitleDeleted val="1"/>
    <c:pivotFmts>
      <c:pivotFmt>
        <c:idx val="0"/>
        <c:spPr>
          <a:solidFill>
            <a:schemeClr val="accent1"/>
          </a:solidFill>
          <a:ln w="50800" cap="rnd">
            <a:solidFill>
              <a:schemeClr val="accent6">
                <a:lumMod val="50000"/>
              </a:schemeClr>
            </a:solidFill>
            <a:round/>
          </a:ln>
          <a:effectLst/>
        </c:spPr>
        <c:marker>
          <c:symbol val="diamond"/>
          <c:size val="10"/>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marker>
          <c:spPr>
            <a:solidFill>
              <a:srgbClr val="FF0000"/>
            </a:solidFill>
            <a:ln w="19050">
              <a:noFill/>
            </a:ln>
            <a:effectLst/>
          </c:spPr>
        </c:marker>
        <c:dLbl>
          <c:idx val="0"/>
          <c:layout>
            <c:manualLayout>
              <c:x val="-0.13745452756497331"/>
              <c:y val="-8.2698860853531994E-2"/>
            </c:manualLayout>
          </c:layout>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rgbClr val="8B0525"/>
                  </a:solidFill>
                  <a:latin typeface="Comic Sans MS" panose="030F0702030302020204" pitchFamily="66"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50800" cap="rnd">
            <a:solidFill>
              <a:schemeClr val="accent6">
                <a:lumMod val="50000"/>
              </a:schemeClr>
            </a:solidFill>
            <a:round/>
          </a:ln>
          <a:effectLst/>
        </c:spPr>
        <c:marker>
          <c:symbol val="diamond"/>
          <c:size val="10"/>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rnd">
            <a:solidFill>
              <a:srgbClr val="003300"/>
            </a:solidFill>
            <a:round/>
          </a:ln>
          <a:effectLst/>
        </c:spPr>
        <c:marker>
          <c:symbol val="diamond"/>
          <c:size val="10"/>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800080"/>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0800" cap="rnd">
            <a:solidFill>
              <a:srgbClr val="003300"/>
            </a:solidFill>
            <a:round/>
          </a:ln>
          <a:effectLst/>
        </c:spPr>
        <c:marker>
          <c:symbol val="diamond"/>
          <c:size val="10"/>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800080"/>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57150" cap="rnd">
            <a:solidFill>
              <a:srgbClr val="FF0000"/>
            </a:solidFill>
            <a:round/>
          </a:ln>
          <a:effectLst/>
        </c:spPr>
        <c:marker>
          <c:symbol val="diamond"/>
          <c:size val="10"/>
          <c:spPr>
            <a:solidFill>
              <a:srgbClr val="00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8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57150" cap="rnd">
            <a:solidFill>
              <a:srgbClr val="FF0000"/>
            </a:solidFill>
            <a:round/>
          </a:ln>
          <a:effectLst/>
        </c:spPr>
        <c:marker>
          <c:symbol val="diamond"/>
          <c:size val="10"/>
          <c:spPr>
            <a:solidFill>
              <a:srgbClr val="000000"/>
            </a:solidFill>
            <a:ln w="9525">
              <a:noFill/>
            </a:ln>
            <a:effectLst/>
          </c:spPr>
        </c:marker>
        <c:dLbl>
          <c:idx val="0"/>
          <c:layout>
            <c:manualLayout>
              <c:x val="-8.6348291630507112E-2"/>
              <c:y val="-8.8153180166605352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57150" cap="rnd">
            <a:solidFill>
              <a:srgbClr val="FF0000"/>
            </a:solidFill>
            <a:round/>
          </a:ln>
          <a:effectLst/>
        </c:spPr>
        <c:marker>
          <c:symbol val="diamond"/>
          <c:size val="10"/>
          <c:spPr>
            <a:solidFill>
              <a:srgbClr val="000000"/>
            </a:solidFill>
            <a:ln w="9525">
              <a:noFill/>
            </a:ln>
            <a:effectLst/>
          </c:spPr>
        </c:marker>
      </c:pivotFmt>
    </c:pivotFmts>
    <c:plotArea>
      <c:layout>
        <c:manualLayout>
          <c:layoutTarget val="inner"/>
          <c:xMode val="edge"/>
          <c:yMode val="edge"/>
          <c:x val="3.1270351889948061E-2"/>
          <c:y val="7.947021525164838E-2"/>
          <c:w val="0.91400653230264284"/>
          <c:h val="0.66207915788890759"/>
        </c:manualLayout>
      </c:layout>
      <c:lineChart>
        <c:grouping val="stacked"/>
        <c:varyColors val="0"/>
        <c:ser>
          <c:idx val="0"/>
          <c:order val="0"/>
          <c:tx>
            <c:strRef>
              <c:f>'Average Salary Per Year'!$B$3</c:f>
              <c:strCache>
                <c:ptCount val="1"/>
                <c:pt idx="0">
                  <c:v>Total</c:v>
                </c:pt>
              </c:strCache>
            </c:strRef>
          </c:tx>
          <c:spPr>
            <a:ln w="57150" cap="rnd">
              <a:solidFill>
                <a:srgbClr val="FF0000"/>
              </a:solidFill>
              <a:round/>
            </a:ln>
            <a:effectLst/>
          </c:spPr>
          <c:marker>
            <c:symbol val="diamond"/>
            <c:size val="10"/>
            <c:spPr>
              <a:solidFill>
                <a:srgbClr val="000000"/>
              </a:solidFill>
              <a:ln w="9525">
                <a:noFill/>
              </a:ln>
              <a:effectLst/>
            </c:spPr>
          </c:marker>
          <c:dPt>
            <c:idx val="4"/>
            <c:marker>
              <c:symbol val="diamond"/>
              <c:size val="10"/>
              <c:spPr>
                <a:solidFill>
                  <a:srgbClr val="000000"/>
                </a:solidFill>
                <a:ln w="9525">
                  <a:noFill/>
                </a:ln>
                <a:effectLst/>
              </c:spPr>
            </c:marker>
            <c:bubble3D val="0"/>
            <c:extLst>
              <c:ext xmlns:c16="http://schemas.microsoft.com/office/drawing/2014/chart" uri="{C3380CC4-5D6E-409C-BE32-E72D297353CC}">
                <c16:uniqueId val="{00000001-E6F0-4A82-9F35-184DDE8A2A44}"/>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rgbClr val="8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Per Year'!$A$4:$A$13</c:f>
              <c:strCache>
                <c:ptCount val="9"/>
                <c:pt idx="0">
                  <c:v>2010</c:v>
                </c:pt>
                <c:pt idx="1">
                  <c:v>2011</c:v>
                </c:pt>
                <c:pt idx="2">
                  <c:v>2012</c:v>
                </c:pt>
                <c:pt idx="3">
                  <c:v>2013</c:v>
                </c:pt>
                <c:pt idx="4">
                  <c:v>2014</c:v>
                </c:pt>
                <c:pt idx="5">
                  <c:v>2015</c:v>
                </c:pt>
                <c:pt idx="6">
                  <c:v>2016</c:v>
                </c:pt>
                <c:pt idx="7">
                  <c:v>2017</c:v>
                </c:pt>
                <c:pt idx="8">
                  <c:v>2018</c:v>
                </c:pt>
              </c:strCache>
            </c:strRef>
          </c:cat>
          <c:val>
            <c:numRef>
              <c:f>'Average Salary Per Year'!$B$4:$B$13</c:f>
              <c:numCache>
                <c:formatCode>[&gt;=1000000]"$"#,###,,"M";[&gt;=1000]"$"#,###,"K";"$"0</c:formatCode>
                <c:ptCount val="9"/>
                <c:pt idx="0">
                  <c:v>67176</c:v>
                </c:pt>
                <c:pt idx="1">
                  <c:v>62825</c:v>
                </c:pt>
                <c:pt idx="2">
                  <c:v>69163.727272727279</c:v>
                </c:pt>
                <c:pt idx="3">
                  <c:v>61750.411764705881</c:v>
                </c:pt>
                <c:pt idx="4">
                  <c:v>63011.8</c:v>
                </c:pt>
                <c:pt idx="5">
                  <c:v>70482.304347826081</c:v>
                </c:pt>
                <c:pt idx="6">
                  <c:v>64141.5</c:v>
                </c:pt>
                <c:pt idx="7">
                  <c:v>68617.8</c:v>
                </c:pt>
                <c:pt idx="8">
                  <c:v>60067.888888888891</c:v>
                </c:pt>
              </c:numCache>
            </c:numRef>
          </c:val>
          <c:smooth val="0"/>
          <c:extLst>
            <c:ext xmlns:c16="http://schemas.microsoft.com/office/drawing/2014/chart" uri="{C3380CC4-5D6E-409C-BE32-E72D297353CC}">
              <c16:uniqueId val="{00000000-4619-4C51-9851-66D1AA27ECF2}"/>
            </c:ext>
          </c:extLst>
        </c:ser>
        <c:dLbls>
          <c:dLblPos val="t"/>
          <c:showLegendKey val="0"/>
          <c:showVal val="1"/>
          <c:showCatName val="0"/>
          <c:showSerName val="0"/>
          <c:showPercent val="0"/>
          <c:showBubbleSize val="0"/>
        </c:dLbls>
        <c:marker val="1"/>
        <c:smooth val="0"/>
        <c:axId val="1111831743"/>
        <c:axId val="1111830495"/>
      </c:lineChart>
      <c:catAx>
        <c:axId val="1111831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3300"/>
                </a:solidFill>
                <a:latin typeface="Rockwell Condensed" panose="02060603050405020104" pitchFamily="18" charset="0"/>
                <a:ea typeface="+mn-ea"/>
                <a:cs typeface="+mn-cs"/>
              </a:defRPr>
            </a:pPr>
            <a:endParaRPr lang="en-US"/>
          </a:p>
        </c:txPr>
        <c:crossAx val="1111830495"/>
        <c:crosses val="autoZero"/>
        <c:auto val="1"/>
        <c:lblAlgn val="ctr"/>
        <c:lblOffset val="100"/>
        <c:noMultiLvlLbl val="0"/>
      </c:catAx>
      <c:valAx>
        <c:axId val="1111830495"/>
        <c:scaling>
          <c:orientation val="minMax"/>
        </c:scaling>
        <c:delete val="1"/>
        <c:axPos val="l"/>
        <c:numFmt formatCode="[&gt;=1000000]&quot;$&quot;#,###,,&quot;M&quot;;[&gt;=1000]&quot;$&quot;#,###,&quot;K&quot;;&quot;$&quot;0" sourceLinked="1"/>
        <c:majorTickMark val="none"/>
        <c:minorTickMark val="none"/>
        <c:tickLblPos val="nextTo"/>
        <c:crossAx val="111183174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FILE.xlsx]Avg Emp Satisfaction Per Year!PivotTable1</c:name>
    <c:fmtId val="24"/>
  </c:pivotSource>
  <c:chart>
    <c:autoTitleDeleted val="1"/>
    <c:pivotFmts>
      <c:pivotFmt>
        <c:idx val="0"/>
        <c:spPr>
          <a:solidFill>
            <a:schemeClr val="accent1"/>
          </a:solidFill>
          <a:ln w="50800" cap="rnd">
            <a:solidFill>
              <a:schemeClr val="accent6">
                <a:lumMod val="50000"/>
              </a:schemeClr>
            </a:solidFill>
            <a:round/>
          </a:ln>
          <a:effectLst/>
        </c:spPr>
        <c:marker>
          <c:symbol val="diamond"/>
          <c:size val="10"/>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chemeClr val="accent6">
                <a:lumMod val="50000"/>
              </a:schemeClr>
            </a:solidFill>
            <a:round/>
          </a:ln>
          <a:effectLst/>
        </c:spPr>
        <c:marker>
          <c:symbol val="diamond"/>
          <c:size val="10"/>
          <c:spPr>
            <a:solidFill>
              <a:srgbClr val="FF0000"/>
            </a:solidFill>
            <a:ln w="9525">
              <a:solidFill>
                <a:schemeClr val="accent1"/>
              </a:solidFill>
            </a:ln>
            <a:effectLst/>
          </c:spPr>
        </c:marker>
      </c:pivotFmt>
      <c:pivotFmt>
        <c:idx val="2"/>
        <c:spPr>
          <a:solidFill>
            <a:schemeClr val="accent1"/>
          </a:solidFill>
          <a:ln w="50800" cap="rnd">
            <a:solidFill>
              <a:schemeClr val="accent6">
                <a:lumMod val="50000"/>
              </a:schemeClr>
            </a:solidFill>
            <a:round/>
          </a:ln>
          <a:effectLst/>
        </c:spPr>
        <c:marker>
          <c:symbol val="diamond"/>
          <c:size val="10"/>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50800" cap="rnd">
            <a:solidFill>
              <a:srgbClr val="003300"/>
            </a:solidFill>
            <a:round/>
          </a:ln>
          <a:effectLst/>
        </c:spPr>
        <c:marker>
          <c:symbol val="diamond"/>
          <c:size val="10"/>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80"/>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0800" cap="rnd">
            <a:solidFill>
              <a:srgbClr val="003300"/>
            </a:solidFill>
            <a:round/>
          </a:ln>
          <a:effectLst/>
        </c:spPr>
        <c:marker>
          <c:symbol val="diamond"/>
          <c:size val="10"/>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80"/>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57150" cap="rnd">
            <a:solidFill>
              <a:srgbClr val="FF0000"/>
            </a:solidFill>
            <a:round/>
          </a:ln>
          <a:effectLst/>
        </c:spPr>
        <c:marker>
          <c:symbol val="diamond"/>
          <c:size val="10"/>
          <c:spPr>
            <a:solidFill>
              <a:srgbClr val="000000"/>
            </a:solidFill>
            <a:ln w="9525">
              <a:solidFill>
                <a:srgbClr val="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572E-2"/>
              <c:y val="-8.55235221307698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572E-2"/>
              <c:y val="-9.371938651051071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572E-2"/>
              <c:y val="-8.55235221307698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655E-2"/>
              <c:y val="-9.371938651051071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738E-2"/>
              <c:y val="-8.5523522130769858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655E-2"/>
              <c:y val="-9.3719386510510747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57150" cap="rnd">
            <a:solidFill>
              <a:srgbClr val="FF0000"/>
            </a:solidFill>
            <a:round/>
          </a:ln>
          <a:effectLst/>
        </c:spPr>
        <c:marker>
          <c:symbol val="diamond"/>
          <c:size val="10"/>
          <c:spPr>
            <a:solidFill>
              <a:srgbClr val="000000"/>
            </a:solidFill>
            <a:ln w="9525">
              <a:solidFill>
                <a:srgbClr val="000000"/>
              </a:solidFill>
            </a:ln>
            <a:effectLst/>
          </c:spPr>
        </c:marker>
        <c:dLbl>
          <c:idx val="0"/>
          <c:layout>
            <c:manualLayout>
              <c:x val="-8.6108699150616586E-2"/>
              <c:y val="-8.5523522130769872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22304751594181E-2"/>
          <c:y val="0.23352226342314328"/>
          <c:w val="0.8736357371577157"/>
          <c:h val="0.55333435434320732"/>
        </c:manualLayout>
      </c:layout>
      <c:lineChart>
        <c:grouping val="stacked"/>
        <c:varyColors val="0"/>
        <c:ser>
          <c:idx val="0"/>
          <c:order val="0"/>
          <c:tx>
            <c:strRef>
              <c:f>'Avg Emp Satisfaction Per Year'!$B$3</c:f>
              <c:strCache>
                <c:ptCount val="1"/>
                <c:pt idx="0">
                  <c:v>Total</c:v>
                </c:pt>
              </c:strCache>
            </c:strRef>
          </c:tx>
          <c:spPr>
            <a:ln w="57150" cap="rnd">
              <a:solidFill>
                <a:srgbClr val="FF0000"/>
              </a:solidFill>
              <a:round/>
            </a:ln>
            <a:effectLst/>
          </c:spPr>
          <c:marker>
            <c:symbol val="diamond"/>
            <c:size val="10"/>
            <c:spPr>
              <a:solidFill>
                <a:srgbClr val="000000"/>
              </a:solidFill>
              <a:ln w="9525">
                <a:solidFill>
                  <a:srgbClr val="000000"/>
                </a:solidFill>
              </a:ln>
              <a:effectLst/>
            </c:spPr>
          </c:marker>
          <c:dPt>
            <c:idx val="1"/>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1-F0E5-4D80-A3CA-86DF465498B5}"/>
              </c:ext>
            </c:extLst>
          </c:dPt>
          <c:dPt>
            <c:idx val="2"/>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7-F0E5-4D80-A3CA-86DF465498B5}"/>
              </c:ext>
            </c:extLst>
          </c:dPt>
          <c:dPt>
            <c:idx val="3"/>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2-F0E5-4D80-A3CA-86DF465498B5}"/>
              </c:ext>
            </c:extLst>
          </c:dPt>
          <c:dPt>
            <c:idx val="5"/>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3-F0E5-4D80-A3CA-86DF465498B5}"/>
              </c:ext>
            </c:extLst>
          </c:dPt>
          <c:dPt>
            <c:idx val="7"/>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4-F0E5-4D80-A3CA-86DF465498B5}"/>
              </c:ext>
            </c:extLst>
          </c:dPt>
          <c:dPt>
            <c:idx val="9"/>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6-F0E5-4D80-A3CA-86DF465498B5}"/>
              </c:ext>
            </c:extLst>
          </c:dPt>
          <c:dPt>
            <c:idx val="10"/>
            <c:marker>
              <c:symbol val="diamond"/>
              <c:size val="10"/>
              <c:spPr>
                <a:solidFill>
                  <a:srgbClr val="000000"/>
                </a:solidFill>
                <a:ln w="9525">
                  <a:solidFill>
                    <a:srgbClr val="000000"/>
                  </a:solidFill>
                </a:ln>
                <a:effectLst/>
              </c:spPr>
            </c:marker>
            <c:bubble3D val="0"/>
            <c:spPr>
              <a:ln w="57150" cap="rnd">
                <a:solidFill>
                  <a:srgbClr val="FF0000"/>
                </a:solidFill>
                <a:round/>
              </a:ln>
              <a:effectLst/>
            </c:spPr>
            <c:extLst>
              <c:ext xmlns:c16="http://schemas.microsoft.com/office/drawing/2014/chart" uri="{C3380CC4-5D6E-409C-BE32-E72D297353CC}">
                <c16:uniqueId val="{00000005-F0E5-4D80-A3CA-86DF465498B5}"/>
              </c:ext>
            </c:extLst>
          </c:dPt>
          <c:dLbls>
            <c:dLbl>
              <c:idx val="1"/>
              <c:layout>
                <c:manualLayout>
                  <c:x val="-8.6108699150616572E-2"/>
                  <c:y val="-8.55235221307698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E5-4D80-A3CA-86DF465498B5}"/>
                </c:ext>
              </c:extLst>
            </c:dLbl>
            <c:dLbl>
              <c:idx val="2"/>
              <c:layout>
                <c:manualLayout>
                  <c:x val="-8.6108699150616586E-2"/>
                  <c:y val="-8.55235221307698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E5-4D80-A3CA-86DF465498B5}"/>
                </c:ext>
              </c:extLst>
            </c:dLbl>
            <c:dLbl>
              <c:idx val="3"/>
              <c:layout>
                <c:manualLayout>
                  <c:x val="-8.6108699150616572E-2"/>
                  <c:y val="-9.3719386510510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E5-4D80-A3CA-86DF465498B5}"/>
                </c:ext>
              </c:extLst>
            </c:dLbl>
            <c:dLbl>
              <c:idx val="5"/>
              <c:layout>
                <c:manualLayout>
                  <c:x val="-8.6108699150616572E-2"/>
                  <c:y val="-8.55235221307698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E5-4D80-A3CA-86DF465498B5}"/>
                </c:ext>
              </c:extLst>
            </c:dLbl>
            <c:dLbl>
              <c:idx val="7"/>
              <c:layout>
                <c:manualLayout>
                  <c:x val="-8.6108699150616655E-2"/>
                  <c:y val="-9.37193865105107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E5-4D80-A3CA-86DF465498B5}"/>
                </c:ext>
              </c:extLst>
            </c:dLbl>
            <c:dLbl>
              <c:idx val="9"/>
              <c:layout>
                <c:manualLayout>
                  <c:x val="-8.6108699150616655E-2"/>
                  <c:y val="-9.37193865105107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E5-4D80-A3CA-86DF465498B5}"/>
                </c:ext>
              </c:extLst>
            </c:dLbl>
            <c:dLbl>
              <c:idx val="10"/>
              <c:layout>
                <c:manualLayout>
                  <c:x val="-8.6108699150616738E-2"/>
                  <c:y val="-8.55235221307698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E5-4D80-A3CA-86DF465498B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800000"/>
                    </a:solidFill>
                    <a:latin typeface="Arial Black" panose="020B0A040201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'Avg Emp Satisfaction Per Year'!$A$4:$A$16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'Avg Emp Satisfaction Per Year'!$B$4:$B$16</c:f>
              <c:numCache>
                <c:formatCode>0.00</c:formatCode>
                <c:ptCount val="12"/>
                <c:pt idx="0">
                  <c:v>3.8717948717948718</c:v>
                </c:pt>
                <c:pt idx="1">
                  <c:v>3.8045977011494254</c:v>
                </c:pt>
                <c:pt idx="2">
                  <c:v>4.75</c:v>
                </c:pt>
                <c:pt idx="3">
                  <c:v>3.8636363636363638</c:v>
                </c:pt>
                <c:pt idx="4">
                  <c:v>4.0769230769230766</c:v>
                </c:pt>
                <c:pt idx="5">
                  <c:v>4.083333333333333</c:v>
                </c:pt>
                <c:pt idx="6">
                  <c:v>3.9285714285714284</c:v>
                </c:pt>
                <c:pt idx="7">
                  <c:v>3.7142857142857144</c:v>
                </c:pt>
                <c:pt idx="8">
                  <c:v>2.5</c:v>
                </c:pt>
                <c:pt idx="9">
                  <c:v>4.166666666666667</c:v>
                </c:pt>
                <c:pt idx="10">
                  <c:v>3.8</c:v>
                </c:pt>
                <c:pt idx="11">
                  <c:v>3.8571428571428572</c:v>
                </c:pt>
              </c:numCache>
            </c:numRef>
          </c:val>
          <c:smooth val="0"/>
          <c:extLst>
            <c:ext xmlns:c16="http://schemas.microsoft.com/office/drawing/2014/chart" uri="{C3380CC4-5D6E-409C-BE32-E72D297353CC}">
              <c16:uniqueId val="{00000000-A9FA-4968-8D57-CCEDEF14BE0A}"/>
            </c:ext>
          </c:extLst>
        </c:ser>
        <c:dLbls>
          <c:dLblPos val="t"/>
          <c:showLegendKey val="0"/>
          <c:showVal val="1"/>
          <c:showCatName val="0"/>
          <c:showSerName val="0"/>
          <c:showPercent val="0"/>
          <c:showBubbleSize val="0"/>
        </c:dLbls>
        <c:marker val="1"/>
        <c:smooth val="0"/>
        <c:axId val="1207746911"/>
        <c:axId val="1207750239"/>
      </c:lineChart>
      <c:catAx>
        <c:axId val="1207746911"/>
        <c:scaling>
          <c:orientation val="minMax"/>
        </c:scaling>
        <c:delete val="0"/>
        <c:axPos val="b"/>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1" i="0" u="none" strike="noStrike" kern="1200" baseline="0">
                <a:solidFill>
                  <a:srgbClr val="003300"/>
                </a:solidFill>
                <a:latin typeface="Arial Narrow" panose="020B0606020202030204" pitchFamily="34" charset="0"/>
                <a:ea typeface="+mn-ea"/>
                <a:cs typeface="+mn-cs"/>
              </a:defRPr>
            </a:pPr>
            <a:endParaRPr lang="en-US"/>
          </a:p>
        </c:txPr>
        <c:crossAx val="1207750239"/>
        <c:crosses val="autoZero"/>
        <c:auto val="1"/>
        <c:lblAlgn val="ctr"/>
        <c:lblOffset val="100"/>
        <c:noMultiLvlLbl val="0"/>
      </c:catAx>
      <c:valAx>
        <c:axId val="1207750239"/>
        <c:scaling>
          <c:orientation val="minMax"/>
        </c:scaling>
        <c:delete val="1"/>
        <c:axPos val="l"/>
        <c:numFmt formatCode="0.00" sourceLinked="1"/>
        <c:majorTickMark val="none"/>
        <c:minorTickMark val="none"/>
        <c:tickLblPos val="nextTo"/>
        <c:crossAx val="12077469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FILE.xlsx]Performance By Recruitment Sour!PivotTable1</c:name>
    <c:fmtId val="18"/>
  </c:pivotSource>
  <c:chart>
    <c:autoTitleDeleted val="1"/>
    <c:pivotFmts>
      <c:pivotFmt>
        <c:idx val="0"/>
        <c:spPr>
          <a:solidFill>
            <a:schemeClr val="accent1"/>
          </a:solidFill>
          <a:ln>
            <a:noFill/>
          </a:ln>
          <a:effectLst/>
          <a:scene3d>
            <a:camera prst="orthographicFront"/>
            <a:lightRig rig="threePt" dir="t">
              <a:rot lat="0" lon="0" rev="3600000"/>
            </a:lightRig>
          </a:scene3d>
          <a:sp3d prstMaterial="plastic">
            <a:bevelT w="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cene3d>
            <a:camera prst="orthographicFront"/>
            <a:lightRig rig="threePt" dir="t">
              <a:rot lat="0" lon="0" rev="3600000"/>
            </a:lightRig>
          </a:scene3d>
          <a:sp3d prstMaterial="plastic">
            <a:bevelT w="0" h="6502400"/>
            <a:bevelB w="6502400" h="6502400"/>
          </a:sp3d>
        </c:spPr>
      </c:pivotFmt>
      <c:pivotFmt>
        <c:idx val="2"/>
        <c:spPr>
          <a:solidFill>
            <a:srgbClr val="FF0000"/>
          </a:solidFill>
          <a:ln>
            <a:noFill/>
          </a:ln>
          <a:effectLst/>
          <a:scene3d>
            <a:camera prst="orthographicFront"/>
            <a:lightRig rig="threePt" dir="t">
              <a:rot lat="0" lon="0" rev="3600000"/>
            </a:lightRig>
          </a:scene3d>
          <a:sp3d prstMaterial="plastic">
            <a:bevelT w="0" h="6502400"/>
            <a:bevelB w="6502400" h="6502400"/>
          </a:sp3d>
        </c:spPr>
      </c:pivotFmt>
      <c:pivotFmt>
        <c:idx val="3"/>
        <c:spPr>
          <a:solidFill>
            <a:srgbClr val="7030A0"/>
          </a:solidFill>
          <a:ln>
            <a:noFill/>
          </a:ln>
          <a:effectLst/>
          <a:scene3d>
            <a:camera prst="orthographicFront"/>
            <a:lightRig rig="threePt" dir="t">
              <a:rot lat="0" lon="0" rev="3600000"/>
            </a:lightRig>
          </a:scene3d>
          <a:sp3d prstMaterial="plastic">
            <a:bevelT w="0" h="6502400"/>
            <a:bevelB w="6502400" h="6502400"/>
          </a:sp3d>
        </c:spPr>
      </c:pivotFmt>
      <c:pivotFmt>
        <c:idx val="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5"/>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6"/>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8"/>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9"/>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0"/>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1"/>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2"/>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3"/>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5"/>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6"/>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8"/>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9"/>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0"/>
        <c:spPr>
          <a:solidFill>
            <a:schemeClr val="accent1"/>
          </a:solidFill>
          <a:ln>
            <a:noFill/>
          </a:ln>
          <a:effectLst/>
          <a:scene3d>
            <a:camera prst="orthographicFront"/>
            <a:lightRig rig="threePt" dir="t">
              <a:rot lat="0" lon="0" rev="3600000"/>
            </a:lightRig>
          </a:scene3d>
          <a:sp3d prstMaterial="plastic">
            <a:bevelT w="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2"/>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3"/>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5"/>
        <c:spPr>
          <a:solidFill>
            <a:schemeClr val="accent6">
              <a:lumMod val="50000"/>
            </a:schemeClr>
          </a:solidFill>
          <a:ln>
            <a:noFill/>
          </a:ln>
          <a:effectLst/>
          <a:scene3d>
            <a:camera prst="orthographicFront"/>
            <a:lightRig rig="threePt" dir="t">
              <a:rot lat="0" lon="0" rev="3600000"/>
            </a:lightRig>
          </a:scene3d>
          <a:sp3d prstMaterial="plastic">
            <a:bevelT w="0" h="6502400"/>
            <a:bevelB w="6502400" h="6502400"/>
          </a:sp3d>
        </c:spPr>
      </c:pivotFmt>
      <c:pivotFmt>
        <c:idx val="26"/>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28"/>
        <c:spPr>
          <a:solidFill>
            <a:srgbClr val="FF0000"/>
          </a:solidFill>
          <a:ln>
            <a:noFill/>
          </a:ln>
          <a:effectLst/>
          <a:scene3d>
            <a:camera prst="orthographicFront"/>
            <a:lightRig rig="threePt" dir="t">
              <a:rot lat="0" lon="0" rev="3600000"/>
            </a:lightRig>
          </a:scene3d>
          <a:sp3d prstMaterial="plastic">
            <a:bevelT w="0" h="6502400"/>
            <a:bevelB w="6502400" h="6502400"/>
          </a:sp3d>
        </c:spPr>
      </c:pivotFmt>
      <c:pivotFmt>
        <c:idx val="29"/>
        <c:spPr>
          <a:solidFill>
            <a:srgbClr val="7030A0"/>
          </a:solidFill>
          <a:ln>
            <a:noFill/>
          </a:ln>
          <a:effectLst/>
          <a:scene3d>
            <a:camera prst="orthographicFront"/>
            <a:lightRig rig="threePt" dir="t">
              <a:rot lat="0" lon="0" rev="3600000"/>
            </a:lightRig>
          </a:scene3d>
          <a:sp3d prstMaterial="plastic">
            <a:bevelT w="0" h="6502400"/>
            <a:bevelB w="6502400" h="6502400"/>
          </a:sp3d>
        </c:spPr>
      </c:pivotFmt>
      <c:pivotFmt>
        <c:idx val="30"/>
        <c:spPr>
          <a:solidFill>
            <a:schemeClr val="accent1"/>
          </a:solidFill>
          <a:ln>
            <a:noFill/>
          </a:ln>
          <a:effectLst/>
          <a:scene3d>
            <a:camera prst="orthographicFront"/>
            <a:lightRig rig="threePt" dir="t">
              <a:rot lat="0" lon="0" rev="3600000"/>
            </a:lightRig>
          </a:scene3d>
          <a:sp3d prstMaterial="plastic">
            <a:bevelT w="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lumMod val="75000"/>
            </a:schemeClr>
          </a:solidFill>
          <a:ln>
            <a:noFill/>
          </a:ln>
          <a:effectLst/>
          <a:scene3d>
            <a:camera prst="orthographicFront"/>
            <a:lightRig rig="threePt" dir="t">
              <a:rot lat="0" lon="0" rev="3600000"/>
            </a:lightRig>
          </a:scene3d>
          <a:sp3d prstMaterial="plastic">
            <a:bevelT w="0" h="6502400"/>
            <a:bevelB w="6502400" h="6502400"/>
          </a:sp3d>
        </c:spPr>
      </c:pivotFmt>
      <c:pivotFmt>
        <c:idx val="32"/>
        <c:spPr>
          <a:solidFill>
            <a:srgbClr val="00B050"/>
          </a:solidFill>
          <a:ln>
            <a:noFill/>
          </a:ln>
          <a:effectLst/>
          <a:scene3d>
            <a:camera prst="orthographicFront"/>
            <a:lightRig rig="threePt" dir="t">
              <a:rot lat="0" lon="0" rev="3600000"/>
            </a:lightRig>
          </a:scene3d>
          <a:sp3d prstMaterial="plastic">
            <a:bevelT w="0" h="6502400"/>
            <a:bevelB w="6502400" h="6502400"/>
          </a:sp3d>
        </c:spPr>
      </c:pivotFmt>
      <c:pivotFmt>
        <c:idx val="33"/>
        <c:spPr>
          <a:solidFill>
            <a:srgbClr val="002060"/>
          </a:solidFill>
          <a:ln>
            <a:noFill/>
          </a:ln>
          <a:effectLst/>
          <a:scene3d>
            <a:camera prst="orthographicFront"/>
            <a:lightRig rig="threePt" dir="t">
              <a:rot lat="0" lon="0" rev="3600000"/>
            </a:lightRig>
          </a:scene3d>
          <a:sp3d prstMaterial="plastic">
            <a:bevelT w="0" h="6502400"/>
            <a:bevelB w="6502400" h="6502400"/>
          </a:sp3d>
        </c:spPr>
      </c:pivotFmt>
      <c:pivotFmt>
        <c:idx val="3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35"/>
        <c:spPr>
          <a:solidFill>
            <a:srgbClr val="003300"/>
          </a:solidFill>
          <a:ln>
            <a:noFill/>
          </a:ln>
          <a:effectLst/>
          <a:scene3d>
            <a:camera prst="orthographicFront"/>
            <a:lightRig rig="threePt" dir="t">
              <a:rot lat="0" lon="0" rev="3600000"/>
            </a:lightRig>
          </a:scene3d>
          <a:sp3d prstMaterial="plastic">
            <a:bevelT w="0" h="6502400"/>
            <a:bevelB w="6502400" h="6502400"/>
          </a:sp3d>
        </c:spPr>
      </c:pivotFmt>
      <c:pivotFmt>
        <c:idx val="36"/>
        <c:spPr>
          <a:solidFill>
            <a:schemeClr val="accent2">
              <a:lumMod val="75000"/>
            </a:schemeClr>
          </a:solidFill>
          <a:ln>
            <a:noFill/>
          </a:ln>
          <a:effectLst/>
          <a:scene3d>
            <a:camera prst="orthographicFront"/>
            <a:lightRig rig="threePt" dir="t">
              <a:rot lat="0" lon="0" rev="3600000"/>
            </a:lightRig>
          </a:scene3d>
          <a:sp3d prstMaterial="plastic">
            <a:bevelT w="0" h="6502400"/>
            <a:bevelB w="6502400" h="6502400"/>
          </a:sp3d>
        </c:spPr>
      </c:pivotFmt>
      <c:pivotFmt>
        <c:idx val="3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38"/>
        <c:spPr>
          <a:solidFill>
            <a:srgbClr val="FF0000"/>
          </a:solidFill>
          <a:ln>
            <a:noFill/>
          </a:ln>
          <a:effectLst/>
          <a:scene3d>
            <a:camera prst="orthographicFront"/>
            <a:lightRig rig="threePt" dir="t">
              <a:rot lat="0" lon="0" rev="3600000"/>
            </a:lightRig>
          </a:scene3d>
          <a:sp3d prstMaterial="plastic">
            <a:bevelT w="0" h="6502400"/>
            <a:bevelB w="6502400" h="6502400"/>
          </a:sp3d>
        </c:spPr>
      </c:pivotFmt>
      <c:pivotFmt>
        <c:idx val="39"/>
        <c:spPr>
          <a:solidFill>
            <a:srgbClr val="7030A0"/>
          </a:solidFill>
          <a:ln>
            <a:noFill/>
          </a:ln>
          <a:effectLst/>
          <a:scene3d>
            <a:camera prst="orthographicFront"/>
            <a:lightRig rig="threePt" dir="t">
              <a:rot lat="0" lon="0" rev="3600000"/>
            </a:lightRig>
          </a:scene3d>
          <a:sp3d prstMaterial="plastic">
            <a:bevelT w="0" h="6502400"/>
            <a:bevelB w="6502400" h="6502400"/>
          </a:sp3d>
        </c:spPr>
      </c:pivotFmt>
      <c:pivotFmt>
        <c:idx val="40"/>
        <c:spPr>
          <a:solidFill>
            <a:schemeClr val="accent1"/>
          </a:solidFill>
          <a:ln>
            <a:noFill/>
          </a:ln>
          <a:effectLst/>
          <a:scene3d>
            <a:camera prst="orthographicFront"/>
            <a:lightRig rig="threePt" dir="t">
              <a:rot lat="0" lon="0" rev="3600000"/>
            </a:lightRig>
          </a:scene3d>
          <a:sp3d prstMaterial="plastic">
            <a:bevelT w="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lumMod val="75000"/>
            </a:schemeClr>
          </a:solidFill>
          <a:ln>
            <a:noFill/>
          </a:ln>
          <a:effectLst/>
          <a:scene3d>
            <a:camera prst="orthographicFront"/>
            <a:lightRig rig="threePt" dir="t">
              <a:rot lat="0" lon="0" rev="3600000"/>
            </a:lightRig>
          </a:scene3d>
          <a:sp3d prstMaterial="plastic">
            <a:bevelT w="0" h="6502400"/>
            <a:bevelB w="6502400" h="6502400"/>
          </a:sp3d>
        </c:spPr>
      </c:pivotFmt>
      <c:pivotFmt>
        <c:idx val="42"/>
        <c:spPr>
          <a:solidFill>
            <a:srgbClr val="00B050"/>
          </a:solidFill>
          <a:ln>
            <a:noFill/>
          </a:ln>
          <a:effectLst/>
          <a:scene3d>
            <a:camera prst="orthographicFront"/>
            <a:lightRig rig="threePt" dir="t">
              <a:rot lat="0" lon="0" rev="3600000"/>
            </a:lightRig>
          </a:scene3d>
          <a:sp3d prstMaterial="plastic">
            <a:bevelT w="0" h="6502400"/>
            <a:bevelB w="6502400" h="6502400"/>
          </a:sp3d>
        </c:spPr>
      </c:pivotFmt>
      <c:pivotFmt>
        <c:idx val="43"/>
        <c:spPr>
          <a:solidFill>
            <a:srgbClr val="002060"/>
          </a:solidFill>
          <a:ln>
            <a:noFill/>
          </a:ln>
          <a:effectLst/>
          <a:scene3d>
            <a:camera prst="orthographicFront"/>
            <a:lightRig rig="threePt" dir="t">
              <a:rot lat="0" lon="0" rev="3600000"/>
            </a:lightRig>
          </a:scene3d>
          <a:sp3d prstMaterial="plastic">
            <a:bevelT w="0" h="6502400"/>
            <a:bevelB w="6502400" h="6502400"/>
          </a:sp3d>
        </c:spPr>
      </c:pivotFmt>
      <c:pivotFmt>
        <c:idx val="4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45"/>
        <c:spPr>
          <a:solidFill>
            <a:srgbClr val="003300"/>
          </a:solidFill>
          <a:ln>
            <a:noFill/>
          </a:ln>
          <a:effectLst/>
          <a:scene3d>
            <a:camera prst="orthographicFront"/>
            <a:lightRig rig="threePt" dir="t">
              <a:rot lat="0" lon="0" rev="3600000"/>
            </a:lightRig>
          </a:scene3d>
          <a:sp3d prstMaterial="plastic">
            <a:bevelT w="0" h="6502400"/>
            <a:bevelB w="6502400" h="6502400"/>
          </a:sp3d>
        </c:spPr>
      </c:pivotFmt>
      <c:pivotFmt>
        <c:idx val="46"/>
        <c:spPr>
          <a:solidFill>
            <a:schemeClr val="accent2">
              <a:lumMod val="75000"/>
            </a:schemeClr>
          </a:solidFill>
          <a:ln>
            <a:noFill/>
          </a:ln>
          <a:effectLst/>
          <a:scene3d>
            <a:camera prst="orthographicFront"/>
            <a:lightRig rig="threePt" dir="t">
              <a:rot lat="0" lon="0" rev="3600000"/>
            </a:lightRig>
          </a:scene3d>
          <a:sp3d prstMaterial="plastic">
            <a:bevelT w="0" h="6502400"/>
            <a:bevelB w="6502400" h="6502400"/>
          </a:sp3d>
        </c:spPr>
      </c:pivotFmt>
      <c:pivotFmt>
        <c:idx val="4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48"/>
        <c:spPr>
          <a:solidFill>
            <a:srgbClr val="FF0000"/>
          </a:solidFill>
          <a:ln>
            <a:noFill/>
          </a:ln>
          <a:effectLst/>
          <a:scene3d>
            <a:camera prst="orthographicFront"/>
            <a:lightRig rig="threePt" dir="t">
              <a:rot lat="0" lon="0" rev="3600000"/>
            </a:lightRig>
          </a:scene3d>
          <a:sp3d prstMaterial="plastic">
            <a:bevelT w="0" h="6502400"/>
            <a:bevelB w="6502400" h="6502400"/>
          </a:sp3d>
        </c:spPr>
      </c:pivotFmt>
      <c:pivotFmt>
        <c:idx val="49"/>
        <c:spPr>
          <a:solidFill>
            <a:srgbClr val="7030A0"/>
          </a:solidFill>
          <a:ln>
            <a:noFill/>
          </a:ln>
          <a:effectLst/>
          <a:scene3d>
            <a:camera prst="orthographicFront"/>
            <a:lightRig rig="threePt" dir="t">
              <a:rot lat="0" lon="0" rev="3600000"/>
            </a:lightRig>
          </a:scene3d>
          <a:sp3d prstMaterial="plastic">
            <a:bevelT w="0" h="6502400"/>
            <a:bevelB w="6502400" h="6502400"/>
          </a:sp3d>
        </c:spPr>
      </c:pivotFmt>
      <c:pivotFmt>
        <c:idx val="50"/>
        <c:spPr>
          <a:solidFill>
            <a:schemeClr val="accent1"/>
          </a:solidFill>
          <a:ln>
            <a:noFill/>
          </a:ln>
          <a:effectLst/>
          <a:scene3d>
            <a:camera prst="orthographicFront"/>
            <a:lightRig rig="threePt" dir="t">
              <a:rot lat="0" lon="0" rev="3600000"/>
            </a:lightRig>
          </a:scene3d>
          <a:sp3d prstMaterial="plastic">
            <a:bevelT w="650240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lumMod val="75000"/>
            </a:schemeClr>
          </a:solidFill>
          <a:ln>
            <a:noFill/>
          </a:ln>
          <a:effectLst/>
          <a:scene3d>
            <a:camera prst="orthographicFront"/>
            <a:lightRig rig="threePt" dir="t">
              <a:rot lat="0" lon="0" rev="3600000"/>
            </a:lightRig>
          </a:scene3d>
          <a:sp3d prstMaterial="plastic">
            <a:bevelT w="6502400" h="6502400"/>
            <a:bevelB w="6502400" h="6502400"/>
          </a:sp3d>
        </c:spPr>
      </c:pivotFmt>
      <c:pivotFmt>
        <c:idx val="52"/>
        <c:spPr>
          <a:solidFill>
            <a:srgbClr val="425166"/>
          </a:solidFill>
          <a:ln>
            <a:noFill/>
          </a:ln>
          <a:effectLst/>
          <a:scene3d>
            <a:camera prst="orthographicFront"/>
            <a:lightRig rig="threePt" dir="t">
              <a:rot lat="0" lon="0" rev="3600000"/>
            </a:lightRig>
          </a:scene3d>
          <a:sp3d prstMaterial="plastic">
            <a:bevelT w="6502400" h="6502400"/>
            <a:bevelB w="6502400" h="6502400"/>
          </a:sp3d>
        </c:spPr>
      </c:pivotFmt>
      <c:pivotFmt>
        <c:idx val="53"/>
        <c:spPr>
          <a:solidFill>
            <a:schemeClr val="accent6">
              <a:lumMod val="50000"/>
            </a:schemeClr>
          </a:solidFill>
          <a:ln>
            <a:noFill/>
          </a:ln>
          <a:effectLst/>
          <a:scene3d>
            <a:camera prst="orthographicFront"/>
            <a:lightRig rig="threePt" dir="t">
              <a:rot lat="0" lon="0" rev="3600000"/>
            </a:lightRig>
          </a:scene3d>
          <a:sp3d prstMaterial="plastic">
            <a:bevelT w="6502400" h="6502400"/>
            <a:bevelB w="6502400" h="6502400"/>
          </a:sp3d>
        </c:spPr>
      </c:pivotFmt>
      <c:pivotFmt>
        <c:idx val="54"/>
        <c:spPr>
          <a:solidFill>
            <a:schemeClr val="accent1"/>
          </a:solidFill>
          <a:ln>
            <a:noFill/>
          </a:ln>
          <a:effectLst/>
          <a:scene3d>
            <a:camera prst="orthographicFront"/>
            <a:lightRig rig="threePt" dir="t">
              <a:rot lat="0" lon="0" rev="3600000"/>
            </a:lightRig>
          </a:scene3d>
          <a:sp3d prstMaterial="plastic">
            <a:bevelT w="6502400" h="6502400"/>
            <a:bevelB w="6502400" h="6502400"/>
          </a:sp3d>
        </c:spPr>
      </c:pivotFmt>
      <c:pivotFmt>
        <c:idx val="55"/>
        <c:spPr>
          <a:solidFill>
            <a:srgbClr val="800000"/>
          </a:solidFill>
          <a:ln>
            <a:noFill/>
          </a:ln>
          <a:effectLst/>
          <a:scene3d>
            <a:camera prst="orthographicFront"/>
            <a:lightRig rig="threePt" dir="t">
              <a:rot lat="0" lon="0" rev="3600000"/>
            </a:lightRig>
          </a:scene3d>
          <a:sp3d prstMaterial="plastic">
            <a:bevelT w="6502400" h="6502400"/>
            <a:bevelB w="6502400" h="6502400"/>
          </a:sp3d>
        </c:spPr>
      </c:pivotFmt>
      <c:pivotFmt>
        <c:idx val="56"/>
        <c:spPr>
          <a:solidFill>
            <a:srgbClr val="002060"/>
          </a:solidFill>
          <a:ln>
            <a:noFill/>
          </a:ln>
          <a:effectLst/>
          <a:scene3d>
            <a:camera prst="orthographicFront"/>
            <a:lightRig rig="threePt" dir="t">
              <a:rot lat="0" lon="0" rev="3600000"/>
            </a:lightRig>
          </a:scene3d>
          <a:sp3d prstMaterial="plastic">
            <a:bevelT w="6502400" h="6502400"/>
            <a:bevelB w="6502400" h="6502400"/>
          </a:sp3d>
        </c:spPr>
      </c:pivotFmt>
      <c:pivotFmt>
        <c:idx val="57"/>
        <c:spPr>
          <a:solidFill>
            <a:schemeClr val="accent1"/>
          </a:solidFill>
          <a:ln>
            <a:noFill/>
          </a:ln>
          <a:effectLst/>
          <a:scene3d>
            <a:camera prst="orthographicFront"/>
            <a:lightRig rig="threePt" dir="t">
              <a:rot lat="0" lon="0" rev="3600000"/>
            </a:lightRig>
          </a:scene3d>
          <a:sp3d prstMaterial="plastic">
            <a:bevelT w="6502400" h="6502400"/>
            <a:bevelB w="6502400" h="6502400"/>
          </a:sp3d>
        </c:spPr>
      </c:pivotFmt>
      <c:pivotFmt>
        <c:idx val="58"/>
        <c:spPr>
          <a:solidFill>
            <a:srgbClr val="FF0000"/>
          </a:solidFill>
          <a:ln>
            <a:noFill/>
          </a:ln>
          <a:effectLst/>
          <a:scene3d>
            <a:camera prst="orthographicFront"/>
            <a:lightRig rig="threePt" dir="t">
              <a:rot lat="0" lon="0" rev="3600000"/>
            </a:lightRig>
          </a:scene3d>
          <a:sp3d prstMaterial="plastic">
            <a:bevelT w="6502400" h="6502400"/>
            <a:bevelB w="6502400" h="6502400"/>
          </a:sp3d>
        </c:spPr>
      </c:pivotFmt>
      <c:pivotFmt>
        <c:idx val="59"/>
        <c:spPr>
          <a:solidFill>
            <a:schemeClr val="accent5">
              <a:lumMod val="60000"/>
              <a:lumOff val="40000"/>
            </a:schemeClr>
          </a:solidFill>
          <a:ln>
            <a:noFill/>
          </a:ln>
          <a:effectLst/>
          <a:scene3d>
            <a:camera prst="orthographicFront"/>
            <a:lightRig rig="threePt" dir="t">
              <a:rot lat="0" lon="0" rev="3600000"/>
            </a:lightRig>
          </a:scene3d>
          <a:sp3d prstMaterial="plastic">
            <a:bevelT w="6502400" h="6502400"/>
            <a:bevelB w="6502400" h="6502400"/>
          </a:sp3d>
        </c:spPr>
      </c:pivotFmt>
    </c:pivotFmts>
    <c:view3D>
      <c:rotX val="75"/>
      <c:rotY val="77"/>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86016445630279"/>
          <c:y val="9.3333333333333338E-2"/>
          <c:w val="0.33850959286502669"/>
          <c:h val="0.90666650544281646"/>
        </c:manualLayout>
      </c:layout>
      <c:pie3DChart>
        <c:varyColors val="1"/>
        <c:ser>
          <c:idx val="0"/>
          <c:order val="0"/>
          <c:tx>
            <c:strRef>
              <c:f>'Performance By Recruitment Sour'!$B$3</c:f>
              <c:strCache>
                <c:ptCount val="1"/>
                <c:pt idx="0">
                  <c:v>Total</c:v>
                </c:pt>
              </c:strCache>
            </c:strRef>
          </c:tx>
          <c:spPr>
            <a:ln>
              <a:noFill/>
            </a:ln>
            <a:scene3d>
              <a:camera prst="orthographicFront"/>
              <a:lightRig rig="threePt" dir="t">
                <a:rot lat="0" lon="0" rev="3600000"/>
              </a:lightRig>
            </a:scene3d>
            <a:sp3d prstMaterial="plastic">
              <a:bevelT w="6502400" h="6502400"/>
              <a:bevelB w="6502400" h="6502400"/>
            </a:sp3d>
          </c:spPr>
          <c:explosion val="5"/>
          <c:dPt>
            <c:idx val="0"/>
            <c:bubble3D val="0"/>
            <c:spPr>
              <a:solidFill>
                <a:schemeClr val="accent1">
                  <a:lumMod val="75000"/>
                </a:schemeClr>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1-16AC-447E-A2D0-52CF0733D27C}"/>
              </c:ext>
            </c:extLst>
          </c:dPt>
          <c:dPt>
            <c:idx val="1"/>
            <c:bubble3D val="0"/>
            <c:spPr>
              <a:solidFill>
                <a:srgbClr val="425166"/>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3-16AC-447E-A2D0-52CF0733D27C}"/>
              </c:ext>
            </c:extLst>
          </c:dPt>
          <c:dPt>
            <c:idx val="2"/>
            <c:bubble3D val="0"/>
            <c:spPr>
              <a:solidFill>
                <a:schemeClr val="accent6">
                  <a:lumMod val="50000"/>
                </a:schemeClr>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5-16AC-447E-A2D0-52CF0733D27C}"/>
              </c:ext>
            </c:extLst>
          </c:dPt>
          <c:dPt>
            <c:idx val="3"/>
            <c:bubble3D val="0"/>
            <c:spPr>
              <a:solidFill>
                <a:schemeClr val="accent4"/>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7-16AC-447E-A2D0-52CF0733D27C}"/>
              </c:ext>
            </c:extLst>
          </c:dPt>
          <c:dPt>
            <c:idx val="4"/>
            <c:bubble3D val="0"/>
            <c:spPr>
              <a:solidFill>
                <a:srgbClr val="800000"/>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9-16AC-447E-A2D0-52CF0733D27C}"/>
              </c:ext>
            </c:extLst>
          </c:dPt>
          <c:dPt>
            <c:idx val="5"/>
            <c:bubble3D val="0"/>
            <c:spPr>
              <a:solidFill>
                <a:srgbClr val="002060"/>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B-16AC-447E-A2D0-52CF0733D27C}"/>
              </c:ext>
            </c:extLst>
          </c:dPt>
          <c:dPt>
            <c:idx val="6"/>
            <c:bubble3D val="0"/>
            <c:spPr>
              <a:solidFill>
                <a:schemeClr val="accent1">
                  <a:lumMod val="60000"/>
                </a:schemeClr>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D-16AC-447E-A2D0-52CF0733D27C}"/>
              </c:ext>
            </c:extLst>
          </c:dPt>
          <c:dPt>
            <c:idx val="7"/>
            <c:bubble3D val="0"/>
            <c:spPr>
              <a:solidFill>
                <a:srgbClr val="FF0000"/>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0F-16AC-447E-A2D0-52CF0733D27C}"/>
              </c:ext>
            </c:extLst>
          </c:dPt>
          <c:dPt>
            <c:idx val="8"/>
            <c:bubble3D val="0"/>
            <c:spPr>
              <a:solidFill>
                <a:schemeClr val="accent5">
                  <a:lumMod val="60000"/>
                  <a:lumOff val="40000"/>
                </a:schemeClr>
              </a:solidFill>
              <a:ln>
                <a:noFill/>
              </a:ln>
              <a:effectLst/>
              <a:scene3d>
                <a:camera prst="orthographicFront"/>
                <a:lightRig rig="threePt" dir="t">
                  <a:rot lat="0" lon="0" rev="3600000"/>
                </a:lightRig>
              </a:scene3d>
              <a:sp3d prstMaterial="plastic">
                <a:bevelT w="6502400" h="6502400"/>
                <a:bevelB w="6502400" h="6502400"/>
              </a:sp3d>
            </c:spPr>
            <c:extLst>
              <c:ext xmlns:c16="http://schemas.microsoft.com/office/drawing/2014/chart" uri="{C3380CC4-5D6E-409C-BE32-E72D297353CC}">
                <c16:uniqueId val="{00000011-16AC-447E-A2D0-52CF0733D27C}"/>
              </c:ext>
            </c:extLst>
          </c:dPt>
          <c:cat>
            <c:strRef>
              <c:f>'Performance By Recruitment Sour'!$A$4:$A$13</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'Performance By Recruitment Sour'!$B$4:$B$13</c:f>
              <c:numCache>
                <c:formatCode>0</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12-16AC-447E-A2D0-52CF0733D27C}"/>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58774130628236609"/>
          <c:y val="0.13753916286779941"/>
          <c:w val="0.26875183625501908"/>
          <c:h val="0.86246095200376249"/>
        </c:manualLayout>
      </c:layout>
      <c:overlay val="0"/>
      <c:spPr>
        <a:noFill/>
        <a:ln>
          <a:noFill/>
        </a:ln>
        <a:effectLst/>
      </c:spPr>
      <c:txPr>
        <a:bodyPr rot="0" spcFirstLastPara="1" vertOverflow="ellipsis" vert="horz" wrap="square" anchor="ctr" anchorCtr="1"/>
        <a:lstStyle/>
        <a:p>
          <a:pPr>
            <a:defRPr sz="500" b="1" i="0" u="none" strike="noStrike" kern="1200" baseline="0">
              <a:solidFill>
                <a:srgbClr val="003300"/>
              </a:solidFill>
              <a:latin typeface="Rockwell Condensed" panose="020606030504050201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FILE.xlsx]Race Ratio by Department!PivotTable1</c:name>
    <c:fmtId val="2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cene3d>
            <a:camera prst="orthographicFront"/>
            <a:lightRig rig="threePt" dir="t"/>
          </a:scene3d>
          <a:sp3d prstMaterial="plastic">
            <a:bevelT w="650240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a:scene3d>
            <a:camera prst="orthographicFront"/>
            <a:lightRig rig="threePt" dir="t"/>
          </a:scene3d>
          <a:sp3d prstMaterial="plastic">
            <a:bevelT w="6502400" h="6502400"/>
            <a:bevelB w="6502400" h="6502400"/>
          </a:sp3d>
        </c:spPr>
      </c:pivotFmt>
      <c:pivotFmt>
        <c:idx val="16"/>
        <c:spPr>
          <a:solidFill>
            <a:srgbClr val="C00000"/>
          </a:solidFill>
          <a:ln>
            <a:noFill/>
          </a:ln>
          <a:effectLst/>
          <a:scene3d>
            <a:camera prst="orthographicFront"/>
            <a:lightRig rig="threePt" dir="t"/>
          </a:scene3d>
          <a:sp3d prstMaterial="plastic">
            <a:bevelT w="6502400" h="6502400"/>
            <a:bevelB w="6502400" h="6502400"/>
          </a:sp3d>
        </c:spPr>
      </c:pivotFmt>
      <c:pivotFmt>
        <c:idx val="17"/>
        <c:spPr>
          <a:solidFill>
            <a:srgbClr val="002060"/>
          </a:solidFill>
          <a:ln>
            <a:noFill/>
          </a:ln>
          <a:effectLst/>
          <a:scene3d>
            <a:camera prst="orthographicFront"/>
            <a:lightRig rig="threePt" dir="t"/>
          </a:scene3d>
          <a:sp3d prstMaterial="plastic">
            <a:bevelT w="6502400" h="6502400"/>
            <a:bevelB w="6502400" h="6502400"/>
          </a:sp3d>
        </c:spPr>
      </c:pivotFmt>
      <c:pivotFmt>
        <c:idx val="18"/>
        <c:spPr>
          <a:solidFill>
            <a:srgbClr val="800000"/>
          </a:solidFill>
          <a:ln>
            <a:noFill/>
          </a:ln>
          <a:effectLst/>
          <a:scene3d>
            <a:camera prst="orthographicFront"/>
            <a:lightRig rig="threePt" dir="t"/>
          </a:scene3d>
          <a:sp3d prstMaterial="plastic">
            <a:bevelT w="6502400" h="6502400"/>
            <a:bevelB w="6502400" h="6502400"/>
          </a:sp3d>
        </c:spPr>
      </c:pivotFmt>
      <c:pivotFmt>
        <c:idx val="19"/>
        <c:spPr>
          <a:solidFill>
            <a:schemeClr val="accent4"/>
          </a:solidFill>
          <a:ln>
            <a:noFill/>
          </a:ln>
          <a:effectLst/>
          <a:scene3d>
            <a:camera prst="orthographicFront"/>
            <a:lightRig rig="threePt" dir="t"/>
          </a:scene3d>
          <a:sp3d prstMaterial="plastic">
            <a:bevelT w="6502400" h="6502400"/>
            <a:bevelB w="6502400" h="6502400"/>
          </a:sp3d>
        </c:spPr>
      </c:pivotFmt>
      <c:pivotFmt>
        <c:idx val="20"/>
        <c:spPr>
          <a:solidFill>
            <a:schemeClr val="accent6">
              <a:lumMod val="50000"/>
            </a:schemeClr>
          </a:solidFill>
          <a:ln>
            <a:noFill/>
          </a:ln>
          <a:effectLst/>
          <a:scene3d>
            <a:camera prst="orthographicFront"/>
            <a:lightRig rig="threePt" dir="t"/>
          </a:scene3d>
          <a:sp3d prstMaterial="plastic">
            <a:bevelT w="6502400" h="6502400"/>
            <a:bevelB w="6502400" h="6502400"/>
          </a:sp3d>
        </c:spPr>
      </c:pivotFmt>
    </c:pivotFmts>
    <c:view3D>
      <c:rotX val="50"/>
      <c:rotY val="146"/>
      <c:rAngAx val="0"/>
      <c:perspective val="8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056900757625707E-2"/>
          <c:y val="0.11195928753180662"/>
          <c:w val="0.50099218008731472"/>
          <c:h val="0.72519083969465647"/>
        </c:manualLayout>
      </c:layout>
      <c:pie3DChart>
        <c:varyColors val="1"/>
        <c:ser>
          <c:idx val="0"/>
          <c:order val="0"/>
          <c:tx>
            <c:strRef>
              <c:f>'Race Ratio by Department'!$B$3</c:f>
              <c:strCache>
                <c:ptCount val="1"/>
                <c:pt idx="0">
                  <c:v>Total</c:v>
                </c:pt>
              </c:strCache>
            </c:strRef>
          </c:tx>
          <c:spPr>
            <a:scene3d>
              <a:camera prst="orthographicFront"/>
              <a:lightRig rig="threePt" dir="t"/>
            </a:scene3d>
            <a:sp3d prstMaterial="plastic">
              <a:bevelT w="6502400" h="6502400"/>
              <a:bevelB w="6502400" h="6502400"/>
            </a:sp3d>
          </c:spPr>
          <c:dPt>
            <c:idx val="0"/>
            <c:bubble3D val="0"/>
            <c:spPr>
              <a:solidFill>
                <a:schemeClr val="accent5">
                  <a:lumMod val="60000"/>
                  <a:lumOff val="40000"/>
                </a:schemeClr>
              </a:solidFill>
              <a:ln>
                <a:noFill/>
              </a:ln>
              <a:effectLst/>
              <a:scene3d>
                <a:camera prst="orthographicFront"/>
                <a:lightRig rig="threePt" dir="t"/>
              </a:scene3d>
              <a:sp3d prstMaterial="plastic">
                <a:bevelT w="6502400" h="6502400"/>
                <a:bevelB w="6502400" h="6502400"/>
              </a:sp3d>
            </c:spPr>
            <c:extLst>
              <c:ext xmlns:c16="http://schemas.microsoft.com/office/drawing/2014/chart" uri="{C3380CC4-5D6E-409C-BE32-E72D297353CC}">
                <c16:uniqueId val="{00000001-79E9-43D6-9CC8-5548988D676E}"/>
              </c:ext>
            </c:extLst>
          </c:dPt>
          <c:dPt>
            <c:idx val="1"/>
            <c:bubble3D val="0"/>
            <c:spPr>
              <a:solidFill>
                <a:srgbClr val="C00000"/>
              </a:solidFill>
              <a:ln>
                <a:noFill/>
              </a:ln>
              <a:effectLst/>
              <a:scene3d>
                <a:camera prst="orthographicFront"/>
                <a:lightRig rig="threePt" dir="t"/>
              </a:scene3d>
              <a:sp3d prstMaterial="plastic">
                <a:bevelT w="6502400" h="6502400"/>
                <a:bevelB w="6502400" h="6502400"/>
              </a:sp3d>
            </c:spPr>
            <c:extLst>
              <c:ext xmlns:c16="http://schemas.microsoft.com/office/drawing/2014/chart" uri="{C3380CC4-5D6E-409C-BE32-E72D297353CC}">
                <c16:uniqueId val="{00000003-79E9-43D6-9CC8-5548988D676E}"/>
              </c:ext>
            </c:extLst>
          </c:dPt>
          <c:dPt>
            <c:idx val="2"/>
            <c:bubble3D val="0"/>
            <c:spPr>
              <a:solidFill>
                <a:srgbClr val="002060"/>
              </a:solidFill>
              <a:ln>
                <a:noFill/>
              </a:ln>
              <a:effectLst/>
              <a:scene3d>
                <a:camera prst="orthographicFront"/>
                <a:lightRig rig="threePt" dir="t"/>
              </a:scene3d>
              <a:sp3d prstMaterial="plastic">
                <a:bevelT w="6502400" h="6502400"/>
                <a:bevelB w="6502400" h="6502400"/>
              </a:sp3d>
            </c:spPr>
            <c:extLst>
              <c:ext xmlns:c16="http://schemas.microsoft.com/office/drawing/2014/chart" uri="{C3380CC4-5D6E-409C-BE32-E72D297353CC}">
                <c16:uniqueId val="{00000005-79E9-43D6-9CC8-5548988D676E}"/>
              </c:ext>
            </c:extLst>
          </c:dPt>
          <c:dPt>
            <c:idx val="3"/>
            <c:bubble3D val="0"/>
            <c:spPr>
              <a:solidFill>
                <a:srgbClr val="800000"/>
              </a:solidFill>
              <a:ln>
                <a:noFill/>
              </a:ln>
              <a:effectLst/>
              <a:scene3d>
                <a:camera prst="orthographicFront"/>
                <a:lightRig rig="threePt" dir="t"/>
              </a:scene3d>
              <a:sp3d prstMaterial="plastic">
                <a:bevelT w="6502400" h="6502400"/>
                <a:bevelB w="6502400" h="6502400"/>
              </a:sp3d>
            </c:spPr>
            <c:extLst>
              <c:ext xmlns:c16="http://schemas.microsoft.com/office/drawing/2014/chart" uri="{C3380CC4-5D6E-409C-BE32-E72D297353CC}">
                <c16:uniqueId val="{00000007-79E9-43D6-9CC8-5548988D676E}"/>
              </c:ext>
            </c:extLst>
          </c:dPt>
          <c:dPt>
            <c:idx val="4"/>
            <c:bubble3D val="0"/>
            <c:spPr>
              <a:solidFill>
                <a:schemeClr val="accent4"/>
              </a:solidFill>
              <a:ln>
                <a:noFill/>
              </a:ln>
              <a:effectLst/>
              <a:scene3d>
                <a:camera prst="orthographicFront"/>
                <a:lightRig rig="threePt" dir="t"/>
              </a:scene3d>
              <a:sp3d prstMaterial="plastic">
                <a:bevelT w="6502400" h="6502400"/>
                <a:bevelB w="6502400" h="6502400"/>
              </a:sp3d>
            </c:spPr>
            <c:extLst>
              <c:ext xmlns:c16="http://schemas.microsoft.com/office/drawing/2014/chart" uri="{C3380CC4-5D6E-409C-BE32-E72D297353CC}">
                <c16:uniqueId val="{00000009-79E9-43D6-9CC8-5548988D676E}"/>
              </c:ext>
            </c:extLst>
          </c:dPt>
          <c:dPt>
            <c:idx val="5"/>
            <c:bubble3D val="0"/>
            <c:spPr>
              <a:solidFill>
                <a:schemeClr val="accent6">
                  <a:lumMod val="50000"/>
                </a:schemeClr>
              </a:solidFill>
              <a:ln>
                <a:noFill/>
              </a:ln>
              <a:effectLst/>
              <a:scene3d>
                <a:camera prst="orthographicFront"/>
                <a:lightRig rig="threePt" dir="t"/>
              </a:scene3d>
              <a:sp3d prstMaterial="plastic">
                <a:bevelT w="6502400" h="6502400"/>
                <a:bevelB w="6502400" h="6502400"/>
              </a:sp3d>
            </c:spPr>
            <c:extLst>
              <c:ext xmlns:c16="http://schemas.microsoft.com/office/drawing/2014/chart" uri="{C3380CC4-5D6E-409C-BE32-E72D297353CC}">
                <c16:uniqueId val="{0000000B-79E9-43D6-9CC8-5548988D676E}"/>
              </c:ext>
            </c:extLst>
          </c:dPt>
          <c:cat>
            <c:strRef>
              <c:f>'Race Ratio by Department'!$A$4:$A$10</c:f>
              <c:strCache>
                <c:ptCount val="6"/>
                <c:pt idx="0">
                  <c:v>Admin Offices</c:v>
                </c:pt>
                <c:pt idx="1">
                  <c:v>Executive Office</c:v>
                </c:pt>
                <c:pt idx="2">
                  <c:v>IT/IS</c:v>
                </c:pt>
                <c:pt idx="3">
                  <c:v>Production       </c:v>
                </c:pt>
                <c:pt idx="4">
                  <c:v>Sales</c:v>
                </c:pt>
                <c:pt idx="5">
                  <c:v>Software Engineering</c:v>
                </c:pt>
              </c:strCache>
            </c:strRef>
          </c:cat>
          <c:val>
            <c:numRef>
              <c:f>'Race Ratio by Department'!$B$4:$B$10</c:f>
              <c:numCache>
                <c:formatCode>0</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C-79E9-43D6-9CC8-5548988D676E}"/>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3664850775503257"/>
          <c:y val="0.13431337115593769"/>
          <c:w val="0.34487370541824725"/>
          <c:h val="0.86568579415366154"/>
        </c:manualLayout>
      </c:layout>
      <c:overlay val="0"/>
      <c:spPr>
        <a:noFill/>
        <a:ln>
          <a:noFill/>
        </a:ln>
        <a:effectLst/>
      </c:spPr>
      <c:txPr>
        <a:bodyPr rot="0" spcFirstLastPara="1" vertOverflow="ellipsis" vert="horz" wrap="square" anchor="ctr" anchorCtr="1"/>
        <a:lstStyle/>
        <a:p>
          <a:pPr>
            <a:defRPr sz="700" b="1" i="0" u="none" strike="noStrike" kern="1200" baseline="0">
              <a:solidFill>
                <a:srgbClr val="003300"/>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by Race!PivotTable1</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pivotFmt>
      <c:pivotFmt>
        <c:idx val="26"/>
        <c:spPr>
          <a:solidFill>
            <a:srgbClr val="FF0000"/>
          </a:solidFill>
          <a:ln>
            <a:noFill/>
          </a:ln>
          <a:effectLst/>
        </c:spPr>
      </c:pivotFmt>
      <c:pivotFmt>
        <c:idx val="27"/>
        <c:spPr>
          <a:solidFill>
            <a:srgbClr val="FF0000"/>
          </a:solidFill>
          <a:ln>
            <a:noFill/>
          </a:ln>
          <a:effectLst/>
        </c:spPr>
      </c:pivotFmt>
      <c:pivotFmt>
        <c:idx val="28"/>
        <c:spPr>
          <a:solidFill>
            <a:srgbClr val="FF0000"/>
          </a:solidFill>
          <a:ln>
            <a:noFill/>
          </a:ln>
          <a:effectLst/>
        </c:spPr>
      </c:pivotFmt>
      <c:pivotFmt>
        <c:idx val="29"/>
        <c:spPr>
          <a:solidFill>
            <a:srgbClr val="FF0000"/>
          </a:solidFill>
          <a:ln>
            <a:noFill/>
          </a:ln>
          <a:effectLst/>
        </c:spPr>
      </c:pivotFmt>
      <c:pivotFmt>
        <c:idx val="30"/>
        <c:spPr>
          <a:solidFill>
            <a:srgbClr val="FF0000"/>
          </a:solidFill>
          <a:ln>
            <a:noFill/>
          </a:ln>
          <a:effectLst/>
        </c:spPr>
      </c:pivotFmt>
    </c:pivotFmts>
    <c:plotArea>
      <c:layout>
        <c:manualLayout>
          <c:layoutTarget val="inner"/>
          <c:xMode val="edge"/>
          <c:yMode val="edge"/>
          <c:x val="4.6858359957401494E-2"/>
          <c:y val="9.2807447200844578E-2"/>
          <c:w val="0.90628328008519698"/>
          <c:h val="0.51438953891993555"/>
        </c:manualLayout>
      </c:layout>
      <c:barChart>
        <c:barDir val="col"/>
        <c:grouping val="clustered"/>
        <c:varyColors val="1"/>
        <c:ser>
          <c:idx val="0"/>
          <c:order val="0"/>
          <c:tx>
            <c:strRef>
              <c:f>'Average Salary by Race'!$B$3</c:f>
              <c:strCache>
                <c:ptCount val="1"/>
                <c:pt idx="0">
                  <c:v>Total</c:v>
                </c:pt>
              </c:strCache>
            </c:strRef>
          </c:tx>
          <c:spPr>
            <a:solidFill>
              <a:srgbClr val="FF0000"/>
            </a:solidFill>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4930-4BD7-AE50-800A2B8B75EA}"/>
              </c:ext>
            </c:extLst>
          </c:dPt>
          <c:dPt>
            <c:idx val="1"/>
            <c:invertIfNegative val="0"/>
            <c:bubble3D val="0"/>
            <c:spPr>
              <a:solidFill>
                <a:srgbClr val="FF0000"/>
              </a:solidFill>
              <a:ln>
                <a:noFill/>
              </a:ln>
              <a:effectLst/>
            </c:spPr>
            <c:extLst>
              <c:ext xmlns:c16="http://schemas.microsoft.com/office/drawing/2014/chart" uri="{C3380CC4-5D6E-409C-BE32-E72D297353CC}">
                <c16:uniqueId val="{00000003-4930-4BD7-AE50-800A2B8B75EA}"/>
              </c:ext>
            </c:extLst>
          </c:dPt>
          <c:dPt>
            <c:idx val="2"/>
            <c:invertIfNegative val="0"/>
            <c:bubble3D val="0"/>
            <c:spPr>
              <a:solidFill>
                <a:srgbClr val="FF0000"/>
              </a:solidFill>
              <a:ln>
                <a:noFill/>
              </a:ln>
              <a:effectLst/>
            </c:spPr>
            <c:extLst>
              <c:ext xmlns:c16="http://schemas.microsoft.com/office/drawing/2014/chart" uri="{C3380CC4-5D6E-409C-BE32-E72D297353CC}">
                <c16:uniqueId val="{00000005-4930-4BD7-AE50-800A2B8B75EA}"/>
              </c:ext>
            </c:extLst>
          </c:dPt>
          <c:dPt>
            <c:idx val="3"/>
            <c:invertIfNegative val="0"/>
            <c:bubble3D val="0"/>
            <c:spPr>
              <a:solidFill>
                <a:srgbClr val="FF0000"/>
              </a:solidFill>
              <a:ln>
                <a:noFill/>
              </a:ln>
              <a:effectLst/>
            </c:spPr>
            <c:extLst>
              <c:ext xmlns:c16="http://schemas.microsoft.com/office/drawing/2014/chart" uri="{C3380CC4-5D6E-409C-BE32-E72D297353CC}">
                <c16:uniqueId val="{00000007-4930-4BD7-AE50-800A2B8B75EA}"/>
              </c:ext>
            </c:extLst>
          </c:dPt>
          <c:dPt>
            <c:idx val="4"/>
            <c:invertIfNegative val="0"/>
            <c:bubble3D val="0"/>
            <c:spPr>
              <a:solidFill>
                <a:srgbClr val="FF0000"/>
              </a:solidFill>
              <a:ln>
                <a:noFill/>
              </a:ln>
              <a:effectLst/>
            </c:spPr>
            <c:extLst>
              <c:ext xmlns:c16="http://schemas.microsoft.com/office/drawing/2014/chart" uri="{C3380CC4-5D6E-409C-BE32-E72D297353CC}">
                <c16:uniqueId val="{00000009-4930-4BD7-AE50-800A2B8B75EA}"/>
              </c:ext>
            </c:extLst>
          </c:dPt>
          <c:dPt>
            <c:idx val="5"/>
            <c:invertIfNegative val="0"/>
            <c:bubble3D val="0"/>
            <c:spPr>
              <a:solidFill>
                <a:srgbClr val="FF0000"/>
              </a:solidFill>
              <a:ln>
                <a:noFill/>
              </a:ln>
              <a:effectLst/>
            </c:spPr>
            <c:extLst>
              <c:ext xmlns:c16="http://schemas.microsoft.com/office/drawing/2014/chart" uri="{C3380CC4-5D6E-409C-BE32-E72D297353CC}">
                <c16:uniqueId val="{0000000B-4930-4BD7-AE50-800A2B8B75EA}"/>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Race'!$A$4:$A$10</c:f>
              <c:strCache>
                <c:ptCount val="6"/>
                <c:pt idx="0">
                  <c:v>American Indian or Alaska Native</c:v>
                </c:pt>
                <c:pt idx="1">
                  <c:v>Asian</c:v>
                </c:pt>
                <c:pt idx="2">
                  <c:v>Black or African American</c:v>
                </c:pt>
                <c:pt idx="3">
                  <c:v>Hispanic</c:v>
                </c:pt>
                <c:pt idx="4">
                  <c:v>Two or more races</c:v>
                </c:pt>
                <c:pt idx="5">
                  <c:v>White</c:v>
                </c:pt>
              </c:strCache>
            </c:strRef>
          </c:cat>
          <c:val>
            <c:numRef>
              <c:f>'Average Salary by Race'!$B$4:$B$10</c:f>
              <c:numCache>
                <c:formatCode>[&gt;=1000000]"$"#,###,,"M";[&gt;=1000]"$"#,###,"K";"$"0</c:formatCode>
                <c:ptCount val="6"/>
                <c:pt idx="0">
                  <c:v>65806</c:v>
                </c:pt>
                <c:pt idx="1">
                  <c:v>68521.206896551725</c:v>
                </c:pt>
                <c:pt idx="2">
                  <c:v>74431.024999999994</c:v>
                </c:pt>
                <c:pt idx="3">
                  <c:v>83667</c:v>
                </c:pt>
                <c:pt idx="4">
                  <c:v>59998.181818181816</c:v>
                </c:pt>
                <c:pt idx="5">
                  <c:v>67287.545454545456</c:v>
                </c:pt>
              </c:numCache>
            </c:numRef>
          </c:val>
          <c:extLst>
            <c:ext xmlns:c16="http://schemas.microsoft.com/office/drawing/2014/chart" uri="{C3380CC4-5D6E-409C-BE32-E72D297353CC}">
              <c16:uniqueId val="{0000000C-4930-4BD7-AE50-800A2B8B75EA}"/>
            </c:ext>
          </c:extLst>
        </c:ser>
        <c:dLbls>
          <c:showLegendKey val="0"/>
          <c:showVal val="0"/>
          <c:showCatName val="0"/>
          <c:showSerName val="0"/>
          <c:showPercent val="0"/>
          <c:showBubbleSize val="0"/>
        </c:dLbls>
        <c:gapWidth val="120"/>
        <c:overlap val="-28"/>
        <c:axId val="1571457232"/>
        <c:axId val="1571468880"/>
      </c:barChart>
      <c:catAx>
        <c:axId val="1571457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50" b="1" i="0" u="none" strike="noStrike" kern="1200" baseline="0">
                <a:solidFill>
                  <a:srgbClr val="003300"/>
                </a:solidFill>
                <a:latin typeface="Rockwell Condensed" panose="02060603050405020104" pitchFamily="18" charset="0"/>
                <a:ea typeface="+mn-ea"/>
                <a:cs typeface="+mn-cs"/>
              </a:defRPr>
            </a:pPr>
            <a:endParaRPr lang="en-US"/>
          </a:p>
        </c:txPr>
        <c:crossAx val="1571468880"/>
        <c:crosses val="autoZero"/>
        <c:auto val="1"/>
        <c:lblAlgn val="ctr"/>
        <c:lblOffset val="100"/>
        <c:noMultiLvlLbl val="0"/>
      </c:catAx>
      <c:valAx>
        <c:axId val="1571468880"/>
        <c:scaling>
          <c:orientation val="minMax"/>
        </c:scaling>
        <c:delete val="1"/>
        <c:axPos val="l"/>
        <c:majorGridlines>
          <c:spPr>
            <a:ln w="9525" cap="flat" cmpd="sng" algn="ctr">
              <a:noFill/>
              <a:round/>
            </a:ln>
            <a:effectLst/>
          </c:spPr>
        </c:majorGridlines>
        <c:numFmt formatCode="[&gt;=1000000]&quot;$&quot;#,###,,&quot;M&quot;;[&gt;=1000]&quot;$&quot;#,###,&quot;K&quot;;&quot;$&quot;0" sourceLinked="1"/>
        <c:majorTickMark val="none"/>
        <c:minorTickMark val="none"/>
        <c:tickLblPos val="nextTo"/>
        <c:crossAx val="157145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FILE.xlsx]Gender Ratio by Department!PivotTable1</c:name>
    <c:fmtId val="24"/>
  </c:pivotSource>
  <c:chart>
    <c:autoTitleDeleted val="0"/>
    <c:pivotFmts>
      <c:pivotFmt>
        <c:idx val="0"/>
        <c:spPr>
          <a:solidFill>
            <a:srgbClr val="9C3E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C3E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pivotFmt>
      <c:pivotFmt>
        <c:idx val="7"/>
        <c:spPr>
          <a:solidFill>
            <a:srgbClr val="800000"/>
          </a:solidFill>
          <a:ln>
            <a:noFill/>
          </a:ln>
          <a:effectLst/>
        </c:spPr>
      </c:pivotFmt>
      <c:pivotFmt>
        <c:idx val="8"/>
        <c:spPr>
          <a:solidFill>
            <a:srgbClr val="002060"/>
          </a:solidFill>
          <a:ln>
            <a:noFill/>
          </a:ln>
          <a:effectLst/>
        </c:spPr>
      </c:pivotFmt>
      <c:pivotFmt>
        <c:idx val="9"/>
        <c:spPr>
          <a:solidFill>
            <a:srgbClr val="800000"/>
          </a:solidFill>
          <a:ln>
            <a:noFill/>
          </a:ln>
          <a:effectLst/>
        </c:spPr>
      </c:pivotFmt>
    </c:pivotFmts>
    <c:plotArea>
      <c:layout>
        <c:manualLayout>
          <c:layoutTarget val="inner"/>
          <c:xMode val="edge"/>
          <c:yMode val="edge"/>
          <c:x val="0.44343478341803028"/>
          <c:y val="7.1031338460382275E-3"/>
          <c:w val="0.55656521658196978"/>
          <c:h val="0.64308098900273047"/>
        </c:manualLayout>
      </c:layout>
      <c:barChart>
        <c:barDir val="bar"/>
        <c:grouping val="percentStacked"/>
        <c:varyColors val="0"/>
        <c:ser>
          <c:idx val="0"/>
          <c:order val="0"/>
          <c:tx>
            <c:strRef>
              <c:f>'Gender Ratio by Department'!$B$3:$B$4</c:f>
              <c:strCache>
                <c:ptCount val="1"/>
                <c:pt idx="0">
                  <c:v>F</c:v>
                </c:pt>
              </c:strCache>
            </c:strRef>
          </c:tx>
          <c:spPr>
            <a:solidFill>
              <a:srgbClr val="800000"/>
            </a:solidFill>
            <a:ln>
              <a:noFill/>
            </a:ln>
            <a:effectLst/>
          </c:spPr>
          <c:invertIfNegative val="0"/>
          <c:cat>
            <c:strRef>
              <c:f>'Gender Ratio by Department'!$A$5:$A$11</c:f>
              <c:strCache>
                <c:ptCount val="6"/>
                <c:pt idx="0">
                  <c:v>Admin Offices</c:v>
                </c:pt>
                <c:pt idx="1">
                  <c:v>Executive Office</c:v>
                </c:pt>
                <c:pt idx="2">
                  <c:v>IT/IS</c:v>
                </c:pt>
                <c:pt idx="3">
                  <c:v>Production       </c:v>
                </c:pt>
                <c:pt idx="4">
                  <c:v>Sales</c:v>
                </c:pt>
                <c:pt idx="5">
                  <c:v>Software Engineering</c:v>
                </c:pt>
              </c:strCache>
            </c:strRef>
          </c:cat>
          <c:val>
            <c:numRef>
              <c:f>'Gender Ratio by Department'!$B$5:$B$11</c:f>
              <c:numCache>
                <c:formatCode>0</c:formatCode>
                <c:ptCount val="6"/>
                <c:pt idx="0">
                  <c:v>6</c:v>
                </c:pt>
                <c:pt idx="1">
                  <c:v>1</c:v>
                </c:pt>
                <c:pt idx="2">
                  <c:v>22</c:v>
                </c:pt>
                <c:pt idx="3">
                  <c:v>126</c:v>
                </c:pt>
                <c:pt idx="4">
                  <c:v>15</c:v>
                </c:pt>
                <c:pt idx="5">
                  <c:v>6</c:v>
                </c:pt>
              </c:numCache>
            </c:numRef>
          </c:val>
          <c:extLst>
            <c:ext xmlns:c16="http://schemas.microsoft.com/office/drawing/2014/chart" uri="{C3380CC4-5D6E-409C-BE32-E72D297353CC}">
              <c16:uniqueId val="{00000000-DD8D-4B22-BE7F-19C08936B10F}"/>
            </c:ext>
          </c:extLst>
        </c:ser>
        <c:ser>
          <c:idx val="1"/>
          <c:order val="1"/>
          <c:tx>
            <c:strRef>
              <c:f>'Gender Ratio by Department'!$C$3:$C$4</c:f>
              <c:strCache>
                <c:ptCount val="1"/>
                <c:pt idx="0">
                  <c:v>M </c:v>
                </c:pt>
              </c:strCache>
            </c:strRef>
          </c:tx>
          <c:spPr>
            <a:solidFill>
              <a:srgbClr val="002060"/>
            </a:solidFill>
            <a:ln>
              <a:noFill/>
            </a:ln>
            <a:effectLst/>
          </c:spPr>
          <c:invertIfNegative val="0"/>
          <c:cat>
            <c:strRef>
              <c:f>'Gender Ratio by Department'!$A$5:$A$11</c:f>
              <c:strCache>
                <c:ptCount val="6"/>
                <c:pt idx="0">
                  <c:v>Admin Offices</c:v>
                </c:pt>
                <c:pt idx="1">
                  <c:v>Executive Office</c:v>
                </c:pt>
                <c:pt idx="2">
                  <c:v>IT/IS</c:v>
                </c:pt>
                <c:pt idx="3">
                  <c:v>Production       </c:v>
                </c:pt>
                <c:pt idx="4">
                  <c:v>Sales</c:v>
                </c:pt>
                <c:pt idx="5">
                  <c:v>Software Engineering</c:v>
                </c:pt>
              </c:strCache>
            </c:strRef>
          </c:cat>
          <c:val>
            <c:numRef>
              <c:f>'Gender Ratio by Department'!$C$5:$C$11</c:f>
              <c:numCache>
                <c:formatCode>0</c:formatCode>
                <c:ptCount val="6"/>
                <c:pt idx="0">
                  <c:v>3</c:v>
                </c:pt>
                <c:pt idx="2">
                  <c:v>28</c:v>
                </c:pt>
                <c:pt idx="3">
                  <c:v>83</c:v>
                </c:pt>
                <c:pt idx="4">
                  <c:v>16</c:v>
                </c:pt>
                <c:pt idx="5">
                  <c:v>5</c:v>
                </c:pt>
              </c:numCache>
            </c:numRef>
          </c:val>
          <c:extLst>
            <c:ext xmlns:c16="http://schemas.microsoft.com/office/drawing/2014/chart" uri="{C3380CC4-5D6E-409C-BE32-E72D297353CC}">
              <c16:uniqueId val="{00000001-DD8D-4B22-BE7F-19C08936B10F}"/>
            </c:ext>
          </c:extLst>
        </c:ser>
        <c:dLbls>
          <c:showLegendKey val="0"/>
          <c:showVal val="0"/>
          <c:showCatName val="0"/>
          <c:showSerName val="0"/>
          <c:showPercent val="0"/>
          <c:showBubbleSize val="0"/>
        </c:dLbls>
        <c:gapWidth val="100"/>
        <c:overlap val="100"/>
        <c:axId val="1779768592"/>
        <c:axId val="1779775248"/>
      </c:barChart>
      <c:catAx>
        <c:axId val="17797685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003300"/>
                </a:solidFill>
                <a:latin typeface="Rockwell Condensed" panose="02060603050405020104" pitchFamily="18" charset="0"/>
                <a:ea typeface="+mn-ea"/>
                <a:cs typeface="+mn-cs"/>
              </a:defRPr>
            </a:pPr>
            <a:endParaRPr lang="en-US"/>
          </a:p>
        </c:txPr>
        <c:crossAx val="1779775248"/>
        <c:crosses val="autoZero"/>
        <c:auto val="1"/>
        <c:lblAlgn val="ctr"/>
        <c:lblOffset val="100"/>
        <c:noMultiLvlLbl val="0"/>
      </c:catAx>
      <c:valAx>
        <c:axId val="1779775248"/>
        <c:scaling>
          <c:orientation val="minMax"/>
        </c:scaling>
        <c:delete val="1"/>
        <c:axPos val="b"/>
        <c:numFmt formatCode="0%" sourceLinked="1"/>
        <c:majorTickMark val="none"/>
        <c:minorTickMark val="none"/>
        <c:tickLblPos val="nextTo"/>
        <c:crossAx val="1779768592"/>
        <c:crosses val="autoZero"/>
        <c:crossBetween val="between"/>
      </c:valAx>
      <c:spPr>
        <a:noFill/>
        <a:ln w="25400">
          <a:noFill/>
        </a:ln>
        <a:effectLst/>
      </c:spPr>
    </c:plotArea>
    <c:legend>
      <c:legendPos val="b"/>
      <c:layout>
        <c:manualLayout>
          <c:xMode val="edge"/>
          <c:yMode val="edge"/>
          <c:x val="0.4045725135421902"/>
          <c:y val="0.81648235111696865"/>
          <c:w val="0.19085497291561959"/>
          <c:h val="0.157144004253009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FILE.xlsx]Top 10 Earners!PivotTable1</c:name>
    <c:fmtId val="17"/>
  </c:pivotSource>
  <c:chart>
    <c:autoTitleDeleted val="1"/>
    <c:pivotFmts>
      <c:pivotFmt>
        <c:idx val="0"/>
        <c:spPr>
          <a:solidFill>
            <a:srgbClr val="003300"/>
          </a:solidFill>
          <a:ln>
            <a:noFill/>
          </a:ln>
          <a:effectLst/>
        </c:spPr>
        <c:marker>
          <c:symbol val="none"/>
        </c:marker>
        <c:dLbl>
          <c:idx val="0"/>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700" b="1" i="0" u="none" strike="noStrike" kern="1200" baseline="0">
                  <a:solidFill>
                    <a:srgbClr val="8B0525"/>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3300"/>
          </a:solidFill>
          <a:ln>
            <a:noFill/>
          </a:ln>
          <a:effectLst/>
        </c:spPr>
        <c:marker>
          <c:symbol val="none"/>
        </c:marker>
        <c:dLbl>
          <c:idx val="0"/>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700" b="1" i="0" u="none" strike="noStrike" kern="1200" baseline="0">
                  <a:solidFill>
                    <a:srgbClr val="8B0525"/>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003300"/>
          </a:solidFill>
          <a:ln>
            <a:noFill/>
          </a:ln>
          <a:effectLst/>
        </c:spPr>
        <c:marker>
          <c:symbol val="none"/>
        </c:marker>
        <c:dLbl>
          <c:idx val="0"/>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700" b="1" i="0" u="none" strike="noStrike" kern="1200" baseline="0">
                  <a:solidFill>
                    <a:srgbClr val="8B0525"/>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003300"/>
          </a:solidFill>
          <a:ln>
            <a:noFill/>
          </a:ln>
          <a:effectLst/>
        </c:spPr>
        <c:marker>
          <c:symbol val="none"/>
        </c:marker>
        <c:dLbl>
          <c:idx val="0"/>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700" b="1" i="0" u="none" strike="noStrike" kern="1200" baseline="0">
                  <a:solidFill>
                    <a:srgbClr val="8B0525"/>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FF0000"/>
          </a:solidFill>
          <a:ln>
            <a:noFill/>
          </a:ln>
          <a:effectLst/>
        </c:spPr>
        <c:marker>
          <c:symbol val="none"/>
        </c:marker>
        <c:dLbl>
          <c:idx val="0"/>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800" b="1" i="0" u="none" strike="noStrike" kern="1200" baseline="0">
                  <a:solidFill>
                    <a:srgbClr val="8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096151742781564"/>
          <c:y val="6.9569675808036566E-2"/>
          <c:w val="0.67767467357719524"/>
          <c:h val="0.88474134662864312"/>
        </c:manualLayout>
      </c:layout>
      <c:barChart>
        <c:barDir val="bar"/>
        <c:grouping val="clustered"/>
        <c:varyColors val="0"/>
        <c:ser>
          <c:idx val="0"/>
          <c:order val="0"/>
          <c:tx>
            <c:strRef>
              <c:f>'Top 10 Earners'!$B$3</c:f>
              <c:strCache>
                <c:ptCount val="1"/>
                <c:pt idx="0">
                  <c:v>Total</c:v>
                </c:pt>
              </c:strCache>
            </c:strRef>
          </c:tx>
          <c:spPr>
            <a:solidFill>
              <a:srgbClr val="FF0000"/>
            </a:solidFill>
            <a:ln>
              <a:noFill/>
            </a:ln>
            <a:effectLst/>
          </c:spPr>
          <c:invertIfNegative val="0"/>
          <c:dLbls>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800" b="1" i="0" u="none" strike="noStrike" kern="1200" baseline="0">
                    <a:solidFill>
                      <a:srgbClr val="8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10 Earners'!$A$4:$A$14</c:f>
              <c:strCache>
                <c:ptCount val="10"/>
                <c:pt idx="0">
                  <c:v>Dougall, Eric</c:v>
                </c:pt>
                <c:pt idx="1">
                  <c:v>Roup,Simon</c:v>
                </c:pt>
                <c:pt idx="2">
                  <c:v>Ruiz, Ricardo</c:v>
                </c:pt>
                <c:pt idx="3">
                  <c:v>Roper, Katie</c:v>
                </c:pt>
                <c:pt idx="4">
                  <c:v>Monroe, Peter</c:v>
                </c:pt>
                <c:pt idx="5">
                  <c:v>Corleone, Vito</c:v>
                </c:pt>
                <c:pt idx="6">
                  <c:v>Foss, Jason</c:v>
                </c:pt>
                <c:pt idx="7">
                  <c:v>Houlihan, Debra</c:v>
                </c:pt>
                <c:pt idx="8">
                  <c:v>Zamora, Jennifer</c:v>
                </c:pt>
                <c:pt idx="9">
                  <c:v>King, Janet</c:v>
                </c:pt>
              </c:strCache>
            </c:strRef>
          </c:cat>
          <c:val>
            <c:numRef>
              <c:f>'Top 10 Earners'!$B$4:$B$14</c:f>
              <c:numCache>
                <c:formatCode>[&gt;=1000000]"$"#,###,,"M";[&gt;=1000]"$"#,###,"K";"$"0</c:formatCode>
                <c:ptCount val="10"/>
                <c:pt idx="0">
                  <c:v>138888</c:v>
                </c:pt>
                <c:pt idx="1">
                  <c:v>140920</c:v>
                </c:pt>
                <c:pt idx="2">
                  <c:v>148999</c:v>
                </c:pt>
                <c:pt idx="3">
                  <c:v>150290</c:v>
                </c:pt>
                <c:pt idx="4">
                  <c:v>157000</c:v>
                </c:pt>
                <c:pt idx="5">
                  <c:v>170500</c:v>
                </c:pt>
                <c:pt idx="6">
                  <c:v>178000</c:v>
                </c:pt>
                <c:pt idx="7">
                  <c:v>180000</c:v>
                </c:pt>
                <c:pt idx="8">
                  <c:v>220450</c:v>
                </c:pt>
                <c:pt idx="9">
                  <c:v>250000</c:v>
                </c:pt>
              </c:numCache>
            </c:numRef>
          </c:val>
          <c:extLst>
            <c:ext xmlns:c16="http://schemas.microsoft.com/office/drawing/2014/chart" uri="{C3380CC4-5D6E-409C-BE32-E72D297353CC}">
              <c16:uniqueId val="{00000000-96C3-4BE8-95F9-4DDB50F29DFD}"/>
            </c:ext>
          </c:extLst>
        </c:ser>
        <c:dLbls>
          <c:dLblPos val="outEnd"/>
          <c:showLegendKey val="0"/>
          <c:showVal val="1"/>
          <c:showCatName val="0"/>
          <c:showSerName val="0"/>
          <c:showPercent val="0"/>
          <c:showBubbleSize val="0"/>
        </c:dLbls>
        <c:gapWidth val="100"/>
        <c:axId val="1571437264"/>
        <c:axId val="1571429776"/>
      </c:barChart>
      <c:catAx>
        <c:axId val="157143726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rgbClr val="003300"/>
                </a:solidFill>
                <a:latin typeface="Rockwell Condensed" panose="02060603050405020104" pitchFamily="18" charset="0"/>
                <a:ea typeface="+mn-ea"/>
                <a:cs typeface="+mn-cs"/>
              </a:defRPr>
            </a:pPr>
            <a:endParaRPr lang="en-US"/>
          </a:p>
        </c:txPr>
        <c:crossAx val="1571429776"/>
        <c:crosses val="autoZero"/>
        <c:auto val="1"/>
        <c:lblAlgn val="ctr"/>
        <c:lblOffset val="100"/>
        <c:noMultiLvlLbl val="0"/>
      </c:catAx>
      <c:valAx>
        <c:axId val="1571429776"/>
        <c:scaling>
          <c:orientation val="minMax"/>
        </c:scaling>
        <c:delete val="1"/>
        <c:axPos val="b"/>
        <c:numFmt formatCode="[&gt;=1000000]&quot;$&quot;#,###,,&quot;M&quot;;[&gt;=1000]&quot;$&quot;#,###,&quot;K&quot;;&quot;$&quot;0" sourceLinked="1"/>
        <c:majorTickMark val="none"/>
        <c:minorTickMark val="none"/>
        <c:tickLblPos val="nextTo"/>
        <c:crossAx val="15714372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FILE.xlsx]Avg Emp Satisfaction Per Year!PivotTable1</c:name>
    <c:fmtId val="20"/>
  </c:pivotSource>
  <c:chart>
    <c:autoTitleDeleted val="1"/>
    <c:pivotFmts>
      <c:pivotFmt>
        <c:idx val="0"/>
        <c:spPr>
          <a:ln w="50800" cap="rnd">
            <a:solidFill>
              <a:schemeClr val="accent6">
                <a:lumMod val="50000"/>
              </a:schemeClr>
            </a:solidFill>
            <a:round/>
          </a:ln>
          <a:effectLst/>
        </c:spPr>
        <c:marker>
          <c:symbol val="diamond"/>
          <c:size val="10"/>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50800" cap="rnd">
            <a:solidFill>
              <a:schemeClr val="accent6">
                <a:lumMod val="50000"/>
              </a:schemeClr>
            </a:solidFill>
            <a:round/>
          </a:ln>
          <a:effectLst/>
        </c:spPr>
        <c:marker>
          <c:symbol val="diamond"/>
          <c:size val="10"/>
          <c:spPr>
            <a:solidFill>
              <a:srgbClr val="FF0000"/>
            </a:solidFill>
            <a:ln w="9525">
              <a:solidFill>
                <a:schemeClr val="accent1"/>
              </a:solidFill>
            </a:ln>
            <a:effectLst/>
          </c:spPr>
        </c:marker>
      </c:pivotFmt>
    </c:pivotFmts>
    <c:plotArea>
      <c:layout>
        <c:manualLayout>
          <c:layoutTarget val="inner"/>
          <c:xMode val="edge"/>
          <c:yMode val="edge"/>
          <c:x val="3.0555555555555555E-2"/>
          <c:y val="0.21703874225024197"/>
          <c:w val="0.93888888888888888"/>
          <c:h val="0.4535778376540141"/>
        </c:manualLayout>
      </c:layout>
      <c:lineChart>
        <c:grouping val="stacked"/>
        <c:varyColors val="0"/>
        <c:ser>
          <c:idx val="0"/>
          <c:order val="0"/>
          <c:tx>
            <c:strRef>
              <c:f>'Avg Emp Satisfaction Per Year'!$B$3</c:f>
              <c:strCache>
                <c:ptCount val="1"/>
                <c:pt idx="0">
                  <c:v>Total</c:v>
                </c:pt>
              </c:strCache>
            </c:strRef>
          </c:tx>
          <c:spPr>
            <a:ln w="50800" cap="rnd">
              <a:solidFill>
                <a:schemeClr val="accent6">
                  <a:lumMod val="50000"/>
                </a:schemeClr>
              </a:solidFill>
              <a:round/>
            </a:ln>
            <a:effectLst/>
          </c:spPr>
          <c:marker>
            <c:symbol val="diamond"/>
            <c:size val="10"/>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Emp Satisfaction Per Year'!$A$4:$A$16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'Avg Emp Satisfaction Per Year'!$B$4:$B$16</c:f>
              <c:numCache>
                <c:formatCode>0.00</c:formatCode>
                <c:ptCount val="12"/>
                <c:pt idx="0">
                  <c:v>3.8717948717948718</c:v>
                </c:pt>
                <c:pt idx="1">
                  <c:v>3.8045977011494254</c:v>
                </c:pt>
                <c:pt idx="2">
                  <c:v>4.75</c:v>
                </c:pt>
                <c:pt idx="3">
                  <c:v>3.8636363636363638</c:v>
                </c:pt>
                <c:pt idx="4">
                  <c:v>4.0769230769230766</c:v>
                </c:pt>
                <c:pt idx="5">
                  <c:v>4.083333333333333</c:v>
                </c:pt>
                <c:pt idx="6">
                  <c:v>3.9285714285714284</c:v>
                </c:pt>
                <c:pt idx="7">
                  <c:v>3.7142857142857144</c:v>
                </c:pt>
                <c:pt idx="8">
                  <c:v>2.5</c:v>
                </c:pt>
                <c:pt idx="9">
                  <c:v>4.166666666666667</c:v>
                </c:pt>
                <c:pt idx="10">
                  <c:v>3.8</c:v>
                </c:pt>
                <c:pt idx="11">
                  <c:v>3.8571428571428572</c:v>
                </c:pt>
              </c:numCache>
            </c:numRef>
          </c:val>
          <c:smooth val="0"/>
          <c:extLst>
            <c:ext xmlns:c16="http://schemas.microsoft.com/office/drawing/2014/chart" uri="{C3380CC4-5D6E-409C-BE32-E72D297353CC}">
              <c16:uniqueId val="{00000000-4FE6-4C53-A139-F442D17B6D6C}"/>
            </c:ext>
          </c:extLst>
        </c:ser>
        <c:dLbls>
          <c:dLblPos val="t"/>
          <c:showLegendKey val="0"/>
          <c:showVal val="1"/>
          <c:showCatName val="0"/>
          <c:showSerName val="0"/>
          <c:showPercent val="0"/>
          <c:showBubbleSize val="0"/>
        </c:dLbls>
        <c:marker val="1"/>
        <c:smooth val="0"/>
        <c:axId val="1207746911"/>
        <c:axId val="1207750239"/>
      </c:lineChart>
      <c:catAx>
        <c:axId val="120774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7B002"/>
                </a:solidFill>
                <a:latin typeface="Arial Narrow" panose="020B0606020202030204" pitchFamily="34" charset="0"/>
                <a:ea typeface="+mn-ea"/>
                <a:cs typeface="+mn-cs"/>
              </a:defRPr>
            </a:pPr>
            <a:endParaRPr lang="en-US"/>
          </a:p>
        </c:txPr>
        <c:crossAx val="1207750239"/>
        <c:crosses val="autoZero"/>
        <c:auto val="1"/>
        <c:lblAlgn val="ctr"/>
        <c:lblOffset val="100"/>
        <c:noMultiLvlLbl val="0"/>
      </c:catAx>
      <c:valAx>
        <c:axId val="1207750239"/>
        <c:scaling>
          <c:orientation val="minMax"/>
        </c:scaling>
        <c:delete val="1"/>
        <c:axPos val="l"/>
        <c:numFmt formatCode="0.00" sourceLinked="1"/>
        <c:majorTickMark val="none"/>
        <c:minorTickMark val="none"/>
        <c:tickLblPos val="nextTo"/>
        <c:crossAx val="12077469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Per Year!PivotTable1</c:name>
    <c:fmtId val="18"/>
  </c:pivotSource>
  <c:chart>
    <c:autoTitleDeleted val="1"/>
    <c:pivotFmts>
      <c:pivotFmt>
        <c:idx val="0"/>
        <c:spPr>
          <a:ln w="50800" cap="rnd">
            <a:solidFill>
              <a:schemeClr val="accent6">
                <a:lumMod val="50000"/>
              </a:schemeClr>
            </a:solidFill>
            <a:round/>
          </a:ln>
          <a:effectLst/>
        </c:spPr>
        <c:marker>
          <c:symbol val="diamond"/>
          <c:size val="10"/>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marker>
          <c:spPr>
            <a:solidFill>
              <a:srgbClr val="FF0000"/>
            </a:solidFill>
            <a:ln w="19050">
              <a:noFill/>
            </a:ln>
            <a:effectLst/>
          </c:spPr>
        </c:marker>
        <c:dLbl>
          <c:idx val="0"/>
          <c:layout>
            <c:manualLayout>
              <c:x val="-0.13745452756497331"/>
              <c:y val="-8.2698860853531994E-2"/>
            </c:manualLayout>
          </c:layout>
          <c:spPr>
            <a:noFill/>
            <a:ln>
              <a:noFill/>
            </a:ln>
            <a:effectLst/>
          </c:spPr>
          <c:txPr>
            <a:bodyPr rot="0" spcFirstLastPara="1" vertOverflow="ellipsis" vert="horz" wrap="square" lIns="38100" tIns="19050" rIns="38100" bIns="19050" anchor="ctr" anchorCtr="0">
              <a:spAutoFit/>
            </a:bodyPr>
            <a:lstStyle/>
            <a:p>
              <a:pPr algn="ctr">
                <a:defRPr sz="800" b="1" i="0" u="none" strike="noStrike" kern="1200" baseline="0">
                  <a:solidFill>
                    <a:srgbClr val="8B0525"/>
                  </a:solidFill>
                  <a:latin typeface="Comic Sans MS" panose="030F0702030302020204" pitchFamily="66"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70351889948061E-2"/>
          <c:y val="7.947021525164838E-2"/>
          <c:w val="0.91400653230264284"/>
          <c:h val="0.720687849129238"/>
        </c:manualLayout>
      </c:layout>
      <c:lineChart>
        <c:grouping val="stacked"/>
        <c:varyColors val="0"/>
        <c:ser>
          <c:idx val="0"/>
          <c:order val="0"/>
          <c:tx>
            <c:strRef>
              <c:f>'Average Salary Per Year'!$B$3</c:f>
              <c:strCache>
                <c:ptCount val="1"/>
                <c:pt idx="0">
                  <c:v>Total</c:v>
                </c:pt>
              </c:strCache>
            </c:strRef>
          </c:tx>
          <c:spPr>
            <a:ln w="50800" cap="rnd">
              <a:solidFill>
                <a:schemeClr val="accent6">
                  <a:lumMod val="50000"/>
                </a:schemeClr>
              </a:solidFill>
              <a:round/>
            </a:ln>
            <a:effectLst/>
          </c:spPr>
          <c:marker>
            <c:symbol val="diamond"/>
            <c:size val="10"/>
            <c:spPr>
              <a:solidFill>
                <a:srgbClr val="FF0000"/>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8B0525"/>
                    </a:solidFill>
                    <a:latin typeface="Comic Sans MS" panose="030F0702030302020204" pitchFamily="66"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Per Year'!$A$4:$A$13</c:f>
              <c:strCache>
                <c:ptCount val="9"/>
                <c:pt idx="0">
                  <c:v>2010</c:v>
                </c:pt>
                <c:pt idx="1">
                  <c:v>2011</c:v>
                </c:pt>
                <c:pt idx="2">
                  <c:v>2012</c:v>
                </c:pt>
                <c:pt idx="3">
                  <c:v>2013</c:v>
                </c:pt>
                <c:pt idx="4">
                  <c:v>2014</c:v>
                </c:pt>
                <c:pt idx="5">
                  <c:v>2015</c:v>
                </c:pt>
                <c:pt idx="6">
                  <c:v>2016</c:v>
                </c:pt>
                <c:pt idx="7">
                  <c:v>2017</c:v>
                </c:pt>
                <c:pt idx="8">
                  <c:v>2018</c:v>
                </c:pt>
              </c:strCache>
            </c:strRef>
          </c:cat>
          <c:val>
            <c:numRef>
              <c:f>'Average Salary Per Year'!$B$4:$B$13</c:f>
              <c:numCache>
                <c:formatCode>[&gt;=1000000]"$"#,###,,"M";[&gt;=1000]"$"#,###,"K";"$"0</c:formatCode>
                <c:ptCount val="9"/>
                <c:pt idx="0">
                  <c:v>67176</c:v>
                </c:pt>
                <c:pt idx="1">
                  <c:v>62825</c:v>
                </c:pt>
                <c:pt idx="2">
                  <c:v>69163.727272727279</c:v>
                </c:pt>
                <c:pt idx="3">
                  <c:v>61750.411764705881</c:v>
                </c:pt>
                <c:pt idx="4">
                  <c:v>63011.8</c:v>
                </c:pt>
                <c:pt idx="5">
                  <c:v>70482.304347826081</c:v>
                </c:pt>
                <c:pt idx="6">
                  <c:v>64141.5</c:v>
                </c:pt>
                <c:pt idx="7">
                  <c:v>68617.8</c:v>
                </c:pt>
                <c:pt idx="8">
                  <c:v>60067.888888888891</c:v>
                </c:pt>
              </c:numCache>
            </c:numRef>
          </c:val>
          <c:smooth val="0"/>
          <c:extLst>
            <c:ext xmlns:c16="http://schemas.microsoft.com/office/drawing/2014/chart" uri="{C3380CC4-5D6E-409C-BE32-E72D297353CC}">
              <c16:uniqueId val="{00000000-97AA-4706-A90E-A28BCF719C7E}"/>
            </c:ext>
          </c:extLst>
        </c:ser>
        <c:dLbls>
          <c:dLblPos val="t"/>
          <c:showLegendKey val="0"/>
          <c:showVal val="1"/>
          <c:showCatName val="0"/>
          <c:showSerName val="0"/>
          <c:showPercent val="0"/>
          <c:showBubbleSize val="0"/>
        </c:dLbls>
        <c:marker val="1"/>
        <c:smooth val="0"/>
        <c:axId val="1111831743"/>
        <c:axId val="1111830495"/>
      </c:lineChart>
      <c:catAx>
        <c:axId val="11118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17B002"/>
                </a:solidFill>
                <a:latin typeface="Arial Narrow" panose="020B0606020202030204" pitchFamily="34" charset="0"/>
                <a:ea typeface="+mn-ea"/>
                <a:cs typeface="+mn-cs"/>
              </a:defRPr>
            </a:pPr>
            <a:endParaRPr lang="en-US"/>
          </a:p>
        </c:txPr>
        <c:crossAx val="1111830495"/>
        <c:crosses val="autoZero"/>
        <c:auto val="1"/>
        <c:lblAlgn val="ctr"/>
        <c:lblOffset val="100"/>
        <c:noMultiLvlLbl val="0"/>
      </c:catAx>
      <c:valAx>
        <c:axId val="1111830495"/>
        <c:scaling>
          <c:orientation val="minMax"/>
        </c:scaling>
        <c:delete val="1"/>
        <c:axPos val="l"/>
        <c:numFmt formatCode="[&gt;=1000000]&quot;$&quot;#,###,,&quot;M&quot;;[&gt;=1000]&quot;$&quot;#,###,&quot;K&quot;;&quot;$&quot;0" sourceLinked="1"/>
        <c:majorTickMark val="none"/>
        <c:minorTickMark val="none"/>
        <c:tickLblPos val="nextTo"/>
        <c:crossAx val="111183174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by Department!PivotTable1</c:name>
    <c:fmtId val="16"/>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s>
    <c:plotArea>
      <c:layout/>
      <c:barChart>
        <c:barDir val="bar"/>
        <c:grouping val="clustered"/>
        <c:varyColors val="0"/>
        <c:ser>
          <c:idx val="0"/>
          <c:order val="0"/>
          <c:tx>
            <c:strRef>
              <c:f>'Average Salary by Department'!$B$3</c:f>
              <c:strCache>
                <c:ptCount val="1"/>
                <c:pt idx="0">
                  <c:v>Total</c:v>
                </c:pt>
              </c:strCache>
            </c:strRef>
          </c:tx>
          <c:spPr>
            <a:solidFill>
              <a:schemeClr val="accent6">
                <a:lumMod val="50000"/>
              </a:schemeClr>
            </a:solidFill>
            <a:ln>
              <a:noFill/>
            </a:ln>
            <a:effectLst/>
          </c:spPr>
          <c:invertIfNegative val="0"/>
          <c:dPt>
            <c:idx val="5"/>
            <c:invertIfNegative val="0"/>
            <c:bubble3D val="0"/>
            <c:extLst>
              <c:ext xmlns:c16="http://schemas.microsoft.com/office/drawing/2014/chart" uri="{C3380CC4-5D6E-409C-BE32-E72D297353CC}">
                <c16:uniqueId val="{00000002-E26F-49D6-A350-0DB66939171E}"/>
              </c:ext>
            </c:extLst>
          </c:dPt>
          <c:dLbls>
            <c:spPr>
              <a:noFill/>
              <a:ln>
                <a:noFill/>
              </a:ln>
              <a:effectLst/>
            </c:spPr>
            <c:txPr>
              <a:bodyPr rot="0" spcFirstLastPara="1" vertOverflow="ellipsis" vert="horz" wrap="square" lIns="38100" tIns="19050" rIns="38100" bIns="19050" anchor="ctr" anchorCtr="0">
                <a:spAutoFit/>
              </a:bodyPr>
              <a:lstStyle/>
              <a:p>
                <a:pPr algn="ctr">
                  <a:defRPr sz="7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Department'!$A$4:$A$10</c:f>
              <c:strCache>
                <c:ptCount val="6"/>
                <c:pt idx="0">
                  <c:v>Production       </c:v>
                </c:pt>
                <c:pt idx="1">
                  <c:v>Sales</c:v>
                </c:pt>
                <c:pt idx="2">
                  <c:v>Admin Offices</c:v>
                </c:pt>
                <c:pt idx="3">
                  <c:v>Software Engineering</c:v>
                </c:pt>
                <c:pt idx="4">
                  <c:v>IT/IS</c:v>
                </c:pt>
                <c:pt idx="5">
                  <c:v>Executive Office</c:v>
                </c:pt>
              </c:strCache>
            </c:strRef>
          </c:cat>
          <c:val>
            <c:numRef>
              <c:f>'Average Salary by Department'!$B$4:$B$10</c:f>
              <c:numCache>
                <c:formatCode>[&gt;=1000000]"$"#,###,,"M";[&gt;=1000]"$"#,###,"K";"$"0</c:formatCode>
                <c:ptCount val="6"/>
                <c:pt idx="0">
                  <c:v>59953.545454545456</c:v>
                </c:pt>
                <c:pt idx="1">
                  <c:v>69061.258064516136</c:v>
                </c:pt>
                <c:pt idx="2">
                  <c:v>71791.888888888891</c:v>
                </c:pt>
                <c:pt idx="3">
                  <c:v>94989.454545454544</c:v>
                </c:pt>
                <c:pt idx="4">
                  <c:v>97064.639999999999</c:v>
                </c:pt>
                <c:pt idx="5">
                  <c:v>250000</c:v>
                </c:pt>
              </c:numCache>
            </c:numRef>
          </c:val>
          <c:extLst>
            <c:ext xmlns:c16="http://schemas.microsoft.com/office/drawing/2014/chart" uri="{C3380CC4-5D6E-409C-BE32-E72D297353CC}">
              <c16:uniqueId val="{00000000-E26F-49D6-A350-0DB66939171E}"/>
            </c:ext>
          </c:extLst>
        </c:ser>
        <c:dLbls>
          <c:showLegendKey val="0"/>
          <c:showVal val="0"/>
          <c:showCatName val="0"/>
          <c:showSerName val="0"/>
          <c:showPercent val="0"/>
          <c:showBubbleSize val="0"/>
        </c:dLbls>
        <c:gapWidth val="150"/>
        <c:axId val="1779754448"/>
        <c:axId val="1779764848"/>
      </c:barChart>
      <c:catAx>
        <c:axId val="177975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B002"/>
                </a:solidFill>
                <a:latin typeface="Rockwell Condensed" panose="02060603050405020104" pitchFamily="18" charset="0"/>
                <a:ea typeface="+mn-ea"/>
                <a:cs typeface="+mn-cs"/>
              </a:defRPr>
            </a:pPr>
            <a:endParaRPr lang="en-US"/>
          </a:p>
        </c:txPr>
        <c:crossAx val="1779764848"/>
        <c:crosses val="autoZero"/>
        <c:auto val="1"/>
        <c:lblAlgn val="ctr"/>
        <c:lblOffset val="100"/>
        <c:noMultiLvlLbl val="0"/>
      </c:catAx>
      <c:valAx>
        <c:axId val="1779764848"/>
        <c:scaling>
          <c:orientation val="minMax"/>
        </c:scaling>
        <c:delete val="1"/>
        <c:axPos val="b"/>
        <c:numFmt formatCode="[&gt;=1000000]&quot;$&quot;#,###,,&quot;M&quot;;[&gt;=1000]&quot;$&quot;#,###,&quot;K&quot;;&quot;$&quot;0" sourceLinked="1"/>
        <c:majorTickMark val="none"/>
        <c:minorTickMark val="none"/>
        <c:tickLblPos val="nextTo"/>
        <c:crossAx val="177975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FILE.xlsx]Performance By Recruitment Sour!PivotTable1</c:name>
    <c:fmtId val="14"/>
  </c:pivotSource>
  <c:chart>
    <c:autoTitleDeleted val="1"/>
    <c:pivotFmts>
      <c:pivotFmt>
        <c:idx val="0"/>
        <c:spPr>
          <a:solidFill>
            <a:schemeClr val="accent1"/>
          </a:solidFill>
          <a:ln>
            <a:noFill/>
          </a:ln>
          <a:effectLst/>
          <a:scene3d>
            <a:camera prst="orthographicFront"/>
            <a:lightRig rig="threePt" dir="t">
              <a:rot lat="0" lon="0" rev="3600000"/>
            </a:lightRig>
          </a:scene3d>
          <a:sp3d prstMaterial="plastic">
            <a:bevelT w="0" h="6502400"/>
            <a:bevelB w="6502400" h="6502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cene3d>
            <a:camera prst="orthographicFront"/>
            <a:lightRig rig="threePt" dir="t">
              <a:rot lat="0" lon="0" rev="3600000"/>
            </a:lightRig>
          </a:scene3d>
          <a:sp3d prstMaterial="plastic">
            <a:bevelT w="0" h="6502400"/>
            <a:bevelB w="6502400" h="6502400"/>
          </a:sp3d>
        </c:spPr>
      </c:pivotFmt>
      <c:pivotFmt>
        <c:idx val="2"/>
        <c:spPr>
          <a:solidFill>
            <a:srgbClr val="FF0000"/>
          </a:solidFill>
          <a:ln>
            <a:noFill/>
          </a:ln>
          <a:effectLst/>
          <a:scene3d>
            <a:camera prst="orthographicFront"/>
            <a:lightRig rig="threePt" dir="t">
              <a:rot lat="0" lon="0" rev="3600000"/>
            </a:lightRig>
          </a:scene3d>
          <a:sp3d prstMaterial="plastic">
            <a:bevelT w="0" h="6502400"/>
            <a:bevelB w="6502400" h="6502400"/>
          </a:sp3d>
        </c:spPr>
      </c:pivotFmt>
      <c:pivotFmt>
        <c:idx val="3"/>
        <c:spPr>
          <a:solidFill>
            <a:srgbClr val="7030A0"/>
          </a:solidFill>
          <a:ln>
            <a:noFill/>
          </a:ln>
          <a:effectLst/>
          <a:scene3d>
            <a:camera prst="orthographicFront"/>
            <a:lightRig rig="threePt" dir="t">
              <a:rot lat="0" lon="0" rev="3600000"/>
            </a:lightRig>
          </a:scene3d>
          <a:sp3d prstMaterial="plastic">
            <a:bevelT w="0" h="6502400"/>
            <a:bevelB w="6502400" h="6502400"/>
          </a:sp3d>
        </c:spPr>
      </c:pivotFmt>
      <c:pivotFmt>
        <c:idx val="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5"/>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6"/>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8"/>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9"/>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0"/>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1"/>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2"/>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3"/>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4"/>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5"/>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6"/>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7"/>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8"/>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
        <c:idx val="19"/>
        <c:spPr>
          <a:solidFill>
            <a:schemeClr val="accent1"/>
          </a:solidFill>
          <a:ln>
            <a:noFill/>
          </a:ln>
          <a:effectLst/>
          <a:scene3d>
            <a:camera prst="orthographicFront"/>
            <a:lightRig rig="threePt" dir="t">
              <a:rot lat="0" lon="0" rev="3600000"/>
            </a:lightRig>
          </a:scene3d>
          <a:sp3d prstMaterial="plastic">
            <a:bevelT w="0" h="6502400"/>
            <a:bevelB w="6502400" h="6502400"/>
          </a:sp3d>
        </c:spPr>
      </c:pivotFmt>
    </c:pivotFmts>
    <c:plotArea>
      <c:layout>
        <c:manualLayout>
          <c:layoutTarget val="inner"/>
          <c:xMode val="edge"/>
          <c:yMode val="edge"/>
          <c:x val="0.18206584843708917"/>
          <c:y val="0"/>
          <c:w val="0.5234281238661419"/>
          <c:h val="0.92654778446811792"/>
        </c:manualLayout>
      </c:layout>
      <c:doughnutChart>
        <c:varyColors val="1"/>
        <c:ser>
          <c:idx val="0"/>
          <c:order val="0"/>
          <c:tx>
            <c:strRef>
              <c:f>'Performance By Recruitment Sour'!$B$3</c:f>
              <c:strCache>
                <c:ptCount val="1"/>
                <c:pt idx="0">
                  <c:v>Total</c:v>
                </c:pt>
              </c:strCache>
            </c:strRef>
          </c:tx>
          <c:spPr>
            <a:ln>
              <a:noFill/>
            </a:ln>
            <a:scene3d>
              <a:camera prst="orthographicFront"/>
              <a:lightRig rig="threePt" dir="t">
                <a:rot lat="0" lon="0" rev="3600000"/>
              </a:lightRig>
            </a:scene3d>
            <a:sp3d prstMaterial="plastic">
              <a:bevelT w="0" h="6502400"/>
              <a:bevelB w="6502400" h="6502400"/>
            </a:sp3d>
          </c:spPr>
          <c:dPt>
            <c:idx val="0"/>
            <c:bubble3D val="0"/>
            <c:spPr>
              <a:solidFill>
                <a:schemeClr val="accent1"/>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5-62B4-4A58-B9AC-8DA994823950}"/>
              </c:ext>
            </c:extLst>
          </c:dPt>
          <c:dPt>
            <c:idx val="1"/>
            <c:bubble3D val="0"/>
            <c:spPr>
              <a:solidFill>
                <a:schemeClr val="accent2"/>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3-2AEE-46E0-86F0-490DAE5E3992}"/>
              </c:ext>
            </c:extLst>
          </c:dPt>
          <c:dPt>
            <c:idx val="2"/>
            <c:bubble3D val="0"/>
            <c:spPr>
              <a:solidFill>
                <a:schemeClr val="accent3"/>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5-2AEE-46E0-86F0-490DAE5E3992}"/>
              </c:ext>
            </c:extLst>
          </c:dPt>
          <c:dPt>
            <c:idx val="3"/>
            <c:bubble3D val="0"/>
            <c:spPr>
              <a:solidFill>
                <a:schemeClr val="accent4"/>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7-2AEE-46E0-86F0-490DAE5E3992}"/>
              </c:ext>
            </c:extLst>
          </c:dPt>
          <c:dPt>
            <c:idx val="4"/>
            <c:bubble3D val="0"/>
            <c:spPr>
              <a:solidFill>
                <a:schemeClr val="accent6">
                  <a:lumMod val="50000"/>
                </a:schemeClr>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2-62B4-4A58-B9AC-8DA994823950}"/>
              </c:ext>
            </c:extLst>
          </c:dPt>
          <c:dPt>
            <c:idx val="5"/>
            <c:bubble3D val="0"/>
            <c:spPr>
              <a:solidFill>
                <a:schemeClr val="accent6"/>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B-2AEE-46E0-86F0-490DAE5E3992}"/>
              </c:ext>
            </c:extLst>
          </c:dPt>
          <c:dPt>
            <c:idx val="6"/>
            <c:bubble3D val="0"/>
            <c:spPr>
              <a:solidFill>
                <a:schemeClr val="accent1">
                  <a:lumMod val="60000"/>
                </a:schemeClr>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D-2AEE-46E0-86F0-490DAE5E3992}"/>
              </c:ext>
            </c:extLst>
          </c:dPt>
          <c:dPt>
            <c:idx val="7"/>
            <c:bubble3D val="0"/>
            <c:spPr>
              <a:solidFill>
                <a:srgbClr val="FF0000"/>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3-62B4-4A58-B9AC-8DA994823950}"/>
              </c:ext>
            </c:extLst>
          </c:dPt>
          <c:dPt>
            <c:idx val="8"/>
            <c:bubble3D val="0"/>
            <c:spPr>
              <a:solidFill>
                <a:srgbClr val="7030A0"/>
              </a:solidFill>
              <a:ln>
                <a:noFill/>
              </a:ln>
              <a:effectLst/>
              <a:scene3d>
                <a:camera prst="orthographicFront"/>
                <a:lightRig rig="threePt" dir="t">
                  <a:rot lat="0" lon="0" rev="3600000"/>
                </a:lightRig>
              </a:scene3d>
              <a:sp3d prstMaterial="plastic">
                <a:bevelT w="0" h="6502400"/>
                <a:bevelB w="6502400" h="6502400"/>
              </a:sp3d>
            </c:spPr>
            <c:extLst>
              <c:ext xmlns:c16="http://schemas.microsoft.com/office/drawing/2014/chart" uri="{C3380CC4-5D6E-409C-BE32-E72D297353CC}">
                <c16:uniqueId val="{00000004-62B4-4A58-B9AC-8DA994823950}"/>
              </c:ext>
            </c:extLst>
          </c:dPt>
          <c:cat>
            <c:strRef>
              <c:f>'Performance By Recruitment Sour'!$A$4:$A$13</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'Performance By Recruitment Sour'!$B$4:$B$13</c:f>
              <c:numCache>
                <c:formatCode>0</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0-62B4-4A58-B9AC-8DA99482395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5.3163820684809453E-2"/>
          <c:y val="0.79792875146857445"/>
          <c:w val="0.74964636658004669"/>
          <c:h val="0.20207113533885188"/>
        </c:manualLayout>
      </c:layout>
      <c:overlay val="0"/>
      <c:spPr>
        <a:noFill/>
        <a:ln>
          <a:noFill/>
        </a:ln>
        <a:effectLst/>
      </c:spPr>
      <c:txPr>
        <a:bodyPr rot="0" spcFirstLastPara="1" vertOverflow="ellipsis" vert="horz" wrap="square" anchor="ctr" anchorCtr="1"/>
        <a:lstStyle/>
        <a:p>
          <a:pPr>
            <a:defRPr sz="700" b="1" i="0" u="none" strike="noStrike" kern="1200" baseline="0">
              <a:solidFill>
                <a:srgbClr val="17B002"/>
              </a:solidFill>
              <a:latin typeface="Rockwell Condensed" panose="020606030504050201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FILE.xlsx]Race Ratio by Department!PivotTable1</c:name>
    <c:fmtId val="12"/>
  </c:pivotSource>
  <c:chart>
    <c:autoTitleDeleted val="1"/>
    <c:pivotFmts>
      <c:pivotFmt>
        <c:idx val="0"/>
        <c:spPr>
          <a:solidFill>
            <a:srgbClr val="534B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36949725839760938"/>
          <c:y val="8.1542227372278633E-2"/>
          <c:w val="0.4502704251768096"/>
          <c:h val="0.72679397385983524"/>
        </c:manualLayout>
      </c:layout>
      <c:pieChart>
        <c:varyColors val="1"/>
        <c:ser>
          <c:idx val="0"/>
          <c:order val="0"/>
          <c:tx>
            <c:strRef>
              <c:f>'Race Ratio by Department'!$B$3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95F-4B6B-AB76-E4C322EFF1D0}"/>
              </c:ext>
            </c:extLst>
          </c:dPt>
          <c:dPt>
            <c:idx val="1"/>
            <c:bubble3D val="0"/>
            <c:spPr>
              <a:solidFill>
                <a:schemeClr val="accent2"/>
              </a:solidFill>
              <a:ln>
                <a:noFill/>
              </a:ln>
              <a:effectLst/>
            </c:spPr>
            <c:extLst>
              <c:ext xmlns:c16="http://schemas.microsoft.com/office/drawing/2014/chart" uri="{C3380CC4-5D6E-409C-BE32-E72D297353CC}">
                <c16:uniqueId val="{00000003-395F-4B6B-AB76-E4C322EFF1D0}"/>
              </c:ext>
            </c:extLst>
          </c:dPt>
          <c:dPt>
            <c:idx val="2"/>
            <c:bubble3D val="0"/>
            <c:spPr>
              <a:solidFill>
                <a:schemeClr val="accent3"/>
              </a:solidFill>
              <a:ln>
                <a:noFill/>
              </a:ln>
              <a:effectLst/>
            </c:spPr>
            <c:extLst>
              <c:ext xmlns:c16="http://schemas.microsoft.com/office/drawing/2014/chart" uri="{C3380CC4-5D6E-409C-BE32-E72D297353CC}">
                <c16:uniqueId val="{00000005-395F-4B6B-AB76-E4C322EFF1D0}"/>
              </c:ext>
            </c:extLst>
          </c:dPt>
          <c:dPt>
            <c:idx val="3"/>
            <c:bubble3D val="0"/>
            <c:spPr>
              <a:solidFill>
                <a:schemeClr val="accent4"/>
              </a:solidFill>
              <a:ln>
                <a:noFill/>
              </a:ln>
              <a:effectLst/>
            </c:spPr>
            <c:extLst>
              <c:ext xmlns:c16="http://schemas.microsoft.com/office/drawing/2014/chart" uri="{C3380CC4-5D6E-409C-BE32-E72D297353CC}">
                <c16:uniqueId val="{00000007-395F-4B6B-AB76-E4C322EFF1D0}"/>
              </c:ext>
            </c:extLst>
          </c:dPt>
          <c:dPt>
            <c:idx val="4"/>
            <c:bubble3D val="0"/>
            <c:spPr>
              <a:solidFill>
                <a:schemeClr val="accent5"/>
              </a:solidFill>
              <a:ln>
                <a:noFill/>
              </a:ln>
              <a:effectLst/>
            </c:spPr>
            <c:extLst>
              <c:ext xmlns:c16="http://schemas.microsoft.com/office/drawing/2014/chart" uri="{C3380CC4-5D6E-409C-BE32-E72D297353CC}">
                <c16:uniqueId val="{00000009-395F-4B6B-AB76-E4C322EFF1D0}"/>
              </c:ext>
            </c:extLst>
          </c:dPt>
          <c:dPt>
            <c:idx val="5"/>
            <c:bubble3D val="0"/>
            <c:spPr>
              <a:solidFill>
                <a:schemeClr val="accent6"/>
              </a:solidFill>
              <a:ln>
                <a:noFill/>
              </a:ln>
              <a:effectLst/>
            </c:spPr>
            <c:extLst>
              <c:ext xmlns:c16="http://schemas.microsoft.com/office/drawing/2014/chart" uri="{C3380CC4-5D6E-409C-BE32-E72D297353CC}">
                <c16:uniqueId val="{0000000B-395F-4B6B-AB76-E4C322EFF1D0}"/>
              </c:ext>
            </c:extLst>
          </c:dPt>
          <c:cat>
            <c:strRef>
              <c:f>'Race Ratio by Department'!$A$4:$A$10</c:f>
              <c:strCache>
                <c:ptCount val="6"/>
                <c:pt idx="0">
                  <c:v>Admin Offices</c:v>
                </c:pt>
                <c:pt idx="1">
                  <c:v>Executive Office</c:v>
                </c:pt>
                <c:pt idx="2">
                  <c:v>IT/IS</c:v>
                </c:pt>
                <c:pt idx="3">
                  <c:v>Production       </c:v>
                </c:pt>
                <c:pt idx="4">
                  <c:v>Sales</c:v>
                </c:pt>
                <c:pt idx="5">
                  <c:v>Software Engineering</c:v>
                </c:pt>
              </c:strCache>
            </c:strRef>
          </c:cat>
          <c:val>
            <c:numRef>
              <c:f>'Race Ratio by Department'!$B$4:$B$10</c:f>
              <c:numCache>
                <c:formatCode>0</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F413-429A-AA7B-93D455BECD7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600" b="1" i="0" u="none" strike="noStrike" kern="1200" baseline="0">
              <a:solidFill>
                <a:srgbClr val="17B002"/>
              </a:solidFill>
              <a:latin typeface="Rockwell Condensed" panose="020606030504050201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FILE.xlsx]Race Ratio by Department!PivotTable1</c:name>
    <c:fmtId val="2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'Race Ratio by Department'!$B$3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2BF0-420F-B02E-69C5189DD378}"/>
              </c:ext>
            </c:extLst>
          </c:dPt>
          <c:dPt>
            <c:idx val="1"/>
            <c:bubble3D val="0"/>
            <c:spPr>
              <a:solidFill>
                <a:schemeClr val="accent2"/>
              </a:solidFill>
              <a:ln>
                <a:noFill/>
              </a:ln>
              <a:effectLst/>
              <a:sp3d/>
            </c:spPr>
            <c:extLst>
              <c:ext xmlns:c16="http://schemas.microsoft.com/office/drawing/2014/chart" uri="{C3380CC4-5D6E-409C-BE32-E72D297353CC}">
                <c16:uniqueId val="{00000003-2BF0-420F-B02E-69C5189DD378}"/>
              </c:ext>
            </c:extLst>
          </c:dPt>
          <c:dPt>
            <c:idx val="2"/>
            <c:bubble3D val="0"/>
            <c:spPr>
              <a:solidFill>
                <a:schemeClr val="accent3"/>
              </a:solidFill>
              <a:ln>
                <a:noFill/>
              </a:ln>
              <a:effectLst/>
              <a:sp3d/>
            </c:spPr>
            <c:extLst>
              <c:ext xmlns:c16="http://schemas.microsoft.com/office/drawing/2014/chart" uri="{C3380CC4-5D6E-409C-BE32-E72D297353CC}">
                <c16:uniqueId val="{00000005-2BF0-420F-B02E-69C5189DD378}"/>
              </c:ext>
            </c:extLst>
          </c:dPt>
          <c:dPt>
            <c:idx val="3"/>
            <c:bubble3D val="0"/>
            <c:spPr>
              <a:solidFill>
                <a:schemeClr val="accent4"/>
              </a:solidFill>
              <a:ln>
                <a:noFill/>
              </a:ln>
              <a:effectLst/>
              <a:sp3d/>
            </c:spPr>
            <c:extLst>
              <c:ext xmlns:c16="http://schemas.microsoft.com/office/drawing/2014/chart" uri="{C3380CC4-5D6E-409C-BE32-E72D297353CC}">
                <c16:uniqueId val="{00000007-2BF0-420F-B02E-69C5189DD378}"/>
              </c:ext>
            </c:extLst>
          </c:dPt>
          <c:dPt>
            <c:idx val="4"/>
            <c:bubble3D val="0"/>
            <c:spPr>
              <a:solidFill>
                <a:schemeClr val="accent5"/>
              </a:solidFill>
              <a:ln>
                <a:noFill/>
              </a:ln>
              <a:effectLst/>
              <a:sp3d/>
            </c:spPr>
            <c:extLst>
              <c:ext xmlns:c16="http://schemas.microsoft.com/office/drawing/2014/chart" uri="{C3380CC4-5D6E-409C-BE32-E72D297353CC}">
                <c16:uniqueId val="{00000009-2BF0-420F-B02E-69C5189DD378}"/>
              </c:ext>
            </c:extLst>
          </c:dPt>
          <c:dPt>
            <c:idx val="5"/>
            <c:bubble3D val="0"/>
            <c:spPr>
              <a:solidFill>
                <a:schemeClr val="accent6"/>
              </a:solidFill>
              <a:ln>
                <a:noFill/>
              </a:ln>
              <a:effectLst/>
              <a:sp3d/>
            </c:spPr>
            <c:extLst>
              <c:ext xmlns:c16="http://schemas.microsoft.com/office/drawing/2014/chart" uri="{C3380CC4-5D6E-409C-BE32-E72D297353CC}">
                <c16:uniqueId val="{0000000B-2BF0-420F-B02E-69C5189DD378}"/>
              </c:ext>
            </c:extLst>
          </c:dPt>
          <c:cat>
            <c:strRef>
              <c:f>'Race Ratio by Department'!$A$4:$A$10</c:f>
              <c:strCache>
                <c:ptCount val="6"/>
                <c:pt idx="0">
                  <c:v>Admin Offices</c:v>
                </c:pt>
                <c:pt idx="1">
                  <c:v>Executive Office</c:v>
                </c:pt>
                <c:pt idx="2">
                  <c:v>IT/IS</c:v>
                </c:pt>
                <c:pt idx="3">
                  <c:v>Production       </c:v>
                </c:pt>
                <c:pt idx="4">
                  <c:v>Sales</c:v>
                </c:pt>
                <c:pt idx="5">
                  <c:v>Software Engineering</c:v>
                </c:pt>
              </c:strCache>
            </c:strRef>
          </c:cat>
          <c:val>
            <c:numRef>
              <c:f>'Race Ratio by Department'!$B$4:$B$10</c:f>
              <c:numCache>
                <c:formatCode>0</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BB47-4724-B808-AB3DD141FFD2}"/>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51046976687681478"/>
          <c:y val="5.7338294907295778E-3"/>
          <c:w val="0.34590087202758907"/>
          <c:h val="0.90984334072888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FILE.xlsx]Gender Ratio by Department!PivotTable1</c:name>
    <c:fmtId val="10"/>
  </c:pivotSource>
  <c:chart>
    <c:autoTitleDeleted val="0"/>
    <c:pivotFmts>
      <c:pivotFmt>
        <c:idx val="0"/>
        <c:spPr>
          <a:solidFill>
            <a:srgbClr val="9C3E4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'Gender Ratio by Department'!$B$3:$B$4</c:f>
              <c:strCache>
                <c:ptCount val="1"/>
                <c:pt idx="0">
                  <c:v>F</c:v>
                </c:pt>
              </c:strCache>
            </c:strRef>
          </c:tx>
          <c:spPr>
            <a:solidFill>
              <a:srgbClr val="9C3E4B"/>
            </a:solidFill>
            <a:ln>
              <a:noFill/>
            </a:ln>
            <a:effectLst/>
          </c:spPr>
          <c:invertIfNegative val="0"/>
          <c:cat>
            <c:strRef>
              <c:f>'Gender Ratio by Department'!$A$5:$A$11</c:f>
              <c:strCache>
                <c:ptCount val="6"/>
                <c:pt idx="0">
                  <c:v>Admin Offices</c:v>
                </c:pt>
                <c:pt idx="1">
                  <c:v>Executive Office</c:v>
                </c:pt>
                <c:pt idx="2">
                  <c:v>IT/IS</c:v>
                </c:pt>
                <c:pt idx="3">
                  <c:v>Production       </c:v>
                </c:pt>
                <c:pt idx="4">
                  <c:v>Sales</c:v>
                </c:pt>
                <c:pt idx="5">
                  <c:v>Software Engineering</c:v>
                </c:pt>
              </c:strCache>
            </c:strRef>
          </c:cat>
          <c:val>
            <c:numRef>
              <c:f>'Gender Ratio by Department'!$B$5:$B$11</c:f>
              <c:numCache>
                <c:formatCode>0</c:formatCode>
                <c:ptCount val="6"/>
                <c:pt idx="0">
                  <c:v>6</c:v>
                </c:pt>
                <c:pt idx="1">
                  <c:v>1</c:v>
                </c:pt>
                <c:pt idx="2">
                  <c:v>22</c:v>
                </c:pt>
                <c:pt idx="3">
                  <c:v>126</c:v>
                </c:pt>
                <c:pt idx="4">
                  <c:v>15</c:v>
                </c:pt>
                <c:pt idx="5">
                  <c:v>6</c:v>
                </c:pt>
              </c:numCache>
            </c:numRef>
          </c:val>
          <c:extLst>
            <c:ext xmlns:c16="http://schemas.microsoft.com/office/drawing/2014/chart" uri="{C3380CC4-5D6E-409C-BE32-E72D297353CC}">
              <c16:uniqueId val="{00000000-692A-4D15-91FD-4CC9E9C05359}"/>
            </c:ext>
          </c:extLst>
        </c:ser>
        <c:ser>
          <c:idx val="1"/>
          <c:order val="1"/>
          <c:tx>
            <c:strRef>
              <c:f>'Gender Ratio by Department'!$C$3:$C$4</c:f>
              <c:strCache>
                <c:ptCount val="1"/>
                <c:pt idx="0">
                  <c:v>M </c:v>
                </c:pt>
              </c:strCache>
            </c:strRef>
          </c:tx>
          <c:spPr>
            <a:solidFill>
              <a:srgbClr val="002060"/>
            </a:solidFill>
            <a:ln>
              <a:noFill/>
            </a:ln>
            <a:effectLst/>
          </c:spPr>
          <c:invertIfNegative val="0"/>
          <c:cat>
            <c:strRef>
              <c:f>'Gender Ratio by Department'!$A$5:$A$11</c:f>
              <c:strCache>
                <c:ptCount val="6"/>
                <c:pt idx="0">
                  <c:v>Admin Offices</c:v>
                </c:pt>
                <c:pt idx="1">
                  <c:v>Executive Office</c:v>
                </c:pt>
                <c:pt idx="2">
                  <c:v>IT/IS</c:v>
                </c:pt>
                <c:pt idx="3">
                  <c:v>Production       </c:v>
                </c:pt>
                <c:pt idx="4">
                  <c:v>Sales</c:v>
                </c:pt>
                <c:pt idx="5">
                  <c:v>Software Engineering</c:v>
                </c:pt>
              </c:strCache>
            </c:strRef>
          </c:cat>
          <c:val>
            <c:numRef>
              <c:f>'Gender Ratio by Department'!$C$5:$C$11</c:f>
              <c:numCache>
                <c:formatCode>0</c:formatCode>
                <c:ptCount val="6"/>
                <c:pt idx="0">
                  <c:v>3</c:v>
                </c:pt>
                <c:pt idx="2">
                  <c:v>28</c:v>
                </c:pt>
                <c:pt idx="3">
                  <c:v>83</c:v>
                </c:pt>
                <c:pt idx="4">
                  <c:v>16</c:v>
                </c:pt>
                <c:pt idx="5">
                  <c:v>5</c:v>
                </c:pt>
              </c:numCache>
            </c:numRef>
          </c:val>
          <c:extLst>
            <c:ext xmlns:c16="http://schemas.microsoft.com/office/drawing/2014/chart" uri="{C3380CC4-5D6E-409C-BE32-E72D297353CC}">
              <c16:uniqueId val="{00000001-A84E-4792-8624-A76FA0FDEE18}"/>
            </c:ext>
          </c:extLst>
        </c:ser>
        <c:dLbls>
          <c:showLegendKey val="0"/>
          <c:showVal val="0"/>
          <c:showCatName val="0"/>
          <c:showSerName val="0"/>
          <c:showPercent val="0"/>
          <c:showBubbleSize val="0"/>
        </c:dLbls>
        <c:gapWidth val="150"/>
        <c:overlap val="100"/>
        <c:axId val="1779768592"/>
        <c:axId val="1779775248"/>
      </c:barChart>
      <c:catAx>
        <c:axId val="1779768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17B002"/>
                </a:solidFill>
                <a:latin typeface="Rockwell Condensed" panose="02060603050405020104" pitchFamily="18" charset="0"/>
                <a:ea typeface="+mn-ea"/>
                <a:cs typeface="+mn-cs"/>
              </a:defRPr>
            </a:pPr>
            <a:endParaRPr lang="en-US"/>
          </a:p>
        </c:txPr>
        <c:crossAx val="1779775248"/>
        <c:crosses val="autoZero"/>
        <c:auto val="1"/>
        <c:lblAlgn val="ctr"/>
        <c:lblOffset val="100"/>
        <c:noMultiLvlLbl val="0"/>
      </c:catAx>
      <c:valAx>
        <c:axId val="1779775248"/>
        <c:scaling>
          <c:orientation val="minMax"/>
        </c:scaling>
        <c:delete val="1"/>
        <c:axPos val="b"/>
        <c:numFmt formatCode="0%" sourceLinked="1"/>
        <c:majorTickMark val="none"/>
        <c:minorTickMark val="none"/>
        <c:tickLblPos val="nextTo"/>
        <c:crossAx val="1779768592"/>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FILE.xlsx]Top 15 Performing Managers!PivotTable1</c:name>
    <c:fmtId val="8"/>
  </c:pivotSource>
  <c:chart>
    <c:autoTitleDeleted val="1"/>
    <c:pivotFmts>
      <c:pivotFmt>
        <c:idx val="0"/>
        <c:spPr>
          <a:solidFill>
            <a:schemeClr val="accent1"/>
          </a:solidFill>
          <a:ln>
            <a:noFill/>
          </a:ln>
          <a:effectLst/>
          <a:scene3d>
            <a:camera prst="orthographicFront"/>
            <a:lightRig rig="threePt" dir="t"/>
          </a:scene3d>
          <a:sp3d prstMaterial="plastic">
            <a:bevelT w="317500" h="317500"/>
            <a:bevelB w="317500" h="317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2"/>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pivotFmt>
      <c:pivotFmt>
        <c:idx val="3"/>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pivotFmt>
      <c:pivotFmt>
        <c:idx val="4"/>
        <c:spPr>
          <a:solidFill>
            <a:schemeClr val="accent5">
              <a:lumMod val="75000"/>
            </a:schemeClr>
          </a:solidFill>
          <a:ln>
            <a:noFill/>
          </a:ln>
          <a:effectLst/>
          <a:scene3d>
            <a:camera prst="orthographicFront"/>
            <a:lightRig rig="threePt" dir="t"/>
          </a:scene3d>
          <a:sp3d prstMaterial="plastic">
            <a:bevelT w="317500" h="317500"/>
            <a:bevelB w="317500" h="317500"/>
          </a:sp3d>
        </c:spPr>
      </c:pivotFmt>
      <c:pivotFmt>
        <c:idx val="5"/>
        <c:spPr>
          <a:solidFill>
            <a:schemeClr val="accent2">
              <a:lumMod val="50000"/>
            </a:schemeClr>
          </a:solidFill>
          <a:ln>
            <a:noFill/>
          </a:ln>
          <a:effectLst/>
          <a:scene3d>
            <a:camera prst="orthographicFront"/>
            <a:lightRig rig="threePt" dir="t"/>
          </a:scene3d>
          <a:sp3d prstMaterial="plastic">
            <a:bevelT w="317500" h="317500"/>
            <a:bevelB w="317500" h="317500"/>
          </a:sp3d>
        </c:spPr>
      </c:pivotFmt>
      <c:pivotFmt>
        <c:idx val="6"/>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pivotFmt>
      <c:pivotFmt>
        <c:idx val="7"/>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8"/>
        <c:spPr>
          <a:solidFill>
            <a:schemeClr val="accent5">
              <a:lumMod val="75000"/>
            </a:schemeClr>
          </a:solidFill>
          <a:ln>
            <a:noFill/>
          </a:ln>
          <a:effectLst/>
          <a:scene3d>
            <a:camera prst="orthographicFront"/>
            <a:lightRig rig="threePt" dir="t"/>
          </a:scene3d>
          <a:sp3d prstMaterial="plastic">
            <a:bevelT w="317500" h="317500"/>
            <a:bevelB w="317500" h="317500"/>
          </a:sp3d>
        </c:spPr>
      </c:pivotFmt>
      <c:pivotFmt>
        <c:idx val="9"/>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pivotFmt>
      <c:pivotFmt>
        <c:idx val="10"/>
        <c:spPr>
          <a:solidFill>
            <a:schemeClr val="accent2">
              <a:lumMod val="50000"/>
            </a:schemeClr>
          </a:solidFill>
          <a:ln>
            <a:noFill/>
          </a:ln>
          <a:effectLst/>
          <a:scene3d>
            <a:camera prst="orthographicFront"/>
            <a:lightRig rig="threePt" dir="t"/>
          </a:scene3d>
          <a:sp3d prstMaterial="plastic">
            <a:bevelT w="317500" h="317500"/>
            <a:bevelB w="317500" h="317500"/>
          </a:sp3d>
        </c:spPr>
      </c:pivotFmt>
      <c:pivotFmt>
        <c:idx val="11"/>
        <c:spPr>
          <a:solidFill>
            <a:schemeClr val="accent5">
              <a:lumMod val="75000"/>
            </a:schemeClr>
          </a:solidFill>
          <a:ln>
            <a:noFill/>
          </a:ln>
          <a:effectLst/>
          <a:scene3d>
            <a:camera prst="orthographicFront"/>
            <a:lightRig rig="threePt" dir="t"/>
          </a:scene3d>
          <a:sp3d prstMaterial="plastic">
            <a:bevelT w="317500" h="317500"/>
            <a:bevelB w="317500" h="317500"/>
          </a:sp3d>
        </c:spPr>
      </c:pivotFmt>
      <c:pivotFmt>
        <c:idx val="12"/>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pivotFmt>
      <c:pivotFmt>
        <c:idx val="13"/>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pivotFmt>
      <c:pivotFmt>
        <c:idx val="14"/>
        <c:spPr>
          <a:solidFill>
            <a:schemeClr val="accent2">
              <a:lumMod val="75000"/>
            </a:schemeClr>
          </a:solidFill>
          <a:ln>
            <a:noFill/>
          </a:ln>
          <a:effectLst/>
          <a:scene3d>
            <a:camera prst="orthographicFront"/>
            <a:lightRig rig="threePt" dir="t"/>
          </a:scene3d>
          <a:sp3d prstMaterial="plastic">
            <a:bevelT w="317500" h="317500"/>
            <a:bevelB w="317500" h="317500"/>
          </a:sp3d>
        </c:spPr>
      </c:pivotFmt>
      <c:pivotFmt>
        <c:idx val="15"/>
        <c:spPr>
          <a:solidFill>
            <a:schemeClr val="accent2">
              <a:lumMod val="50000"/>
            </a:schemeClr>
          </a:solidFill>
          <a:ln>
            <a:noFill/>
          </a:ln>
          <a:effectLst/>
          <a:scene3d>
            <a:camera prst="orthographicFront"/>
            <a:lightRig rig="threePt" dir="t"/>
          </a:scene3d>
          <a:sp3d prstMaterial="plastic">
            <a:bevelT w="317500" h="317500"/>
            <a:bevelB w="317500" h="317500"/>
          </a:sp3d>
        </c:spPr>
      </c:pivotFmt>
      <c:pivotFmt>
        <c:idx val="16"/>
        <c:spPr>
          <a:solidFill>
            <a:schemeClr val="accent2">
              <a:lumMod val="50000"/>
            </a:schemeClr>
          </a:solidFill>
          <a:ln>
            <a:noFill/>
          </a:ln>
          <a:effectLst/>
          <a:scene3d>
            <a:camera prst="orthographicFront"/>
            <a:lightRig rig="threePt" dir="t"/>
          </a:scene3d>
          <a:sp3d prstMaterial="plastic">
            <a:bevelT w="317500" h="317500"/>
            <a:bevelB w="317500" h="317500"/>
          </a:sp3d>
        </c:spPr>
      </c:pivotFmt>
      <c:pivotFmt>
        <c:idx val="17"/>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pivotFmt>
      <c:pivotFmt>
        <c:idx val="18"/>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pivotFmt>
    </c:pivotFmts>
    <c:plotArea>
      <c:layout>
        <c:manualLayout>
          <c:layoutTarget val="inner"/>
          <c:xMode val="edge"/>
          <c:yMode val="edge"/>
          <c:x val="0.28921447465119415"/>
          <c:y val="7.4329255487068438E-2"/>
          <c:w val="0.71078552534880579"/>
          <c:h val="0.90757591078322164"/>
        </c:manualLayout>
      </c:layout>
      <c:barChart>
        <c:barDir val="bar"/>
        <c:grouping val="stacked"/>
        <c:varyColors val="1"/>
        <c:ser>
          <c:idx val="0"/>
          <c:order val="0"/>
          <c:tx>
            <c:strRef>
              <c:f>'Top 15 Performing Managers'!$B$3</c:f>
              <c:strCache>
                <c:ptCount val="1"/>
                <c:pt idx="0">
                  <c:v>Total</c:v>
                </c:pt>
              </c:strCache>
            </c:strRef>
          </c:tx>
          <c:spPr>
            <a:ln>
              <a:noFill/>
            </a:ln>
            <a:scene3d>
              <a:camera prst="orthographicFront"/>
              <a:lightRig rig="threePt" dir="t"/>
            </a:scene3d>
            <a:sp3d prstMaterial="plastic">
              <a:bevelT w="317500" h="317500"/>
              <a:bevelB w="317500" h="317500"/>
            </a:sp3d>
          </c:spPr>
          <c:invertIfNegative val="0"/>
          <c:dPt>
            <c:idx val="0"/>
            <c:invertIfNegative val="0"/>
            <c:bubble3D val="0"/>
            <c:spPr>
              <a:solidFill>
                <a:schemeClr val="accent2">
                  <a:lumMod val="5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10-9DBF-4748-89E7-79E84F511E13}"/>
              </c:ext>
            </c:extLst>
          </c:dPt>
          <c:dPt>
            <c:idx val="1"/>
            <c:invertIfNegative val="0"/>
            <c:bubble3D val="0"/>
            <c:spPr>
              <a:solidFill>
                <a:schemeClr val="accent2">
                  <a:lumMod val="75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F-9DBF-4748-89E7-79E84F511E13}"/>
              </c:ext>
            </c:extLst>
          </c:dPt>
          <c:dPt>
            <c:idx val="2"/>
            <c:invertIfNegative val="0"/>
            <c:bubble3D val="0"/>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E-9DBF-4748-89E7-79E84F511E13}"/>
              </c:ext>
            </c:extLst>
          </c:dPt>
          <c:dPt>
            <c:idx val="3"/>
            <c:invertIfNegative val="0"/>
            <c:bubble3D val="0"/>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D-9DBF-4748-89E7-79E84F511E13}"/>
              </c:ext>
            </c:extLst>
          </c:dPt>
          <c:dPt>
            <c:idx val="4"/>
            <c:invertIfNegative val="0"/>
            <c:bubble3D val="0"/>
            <c:spPr>
              <a:solidFill>
                <a:schemeClr val="accent5">
                  <a:lumMod val="75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C-9DBF-4748-89E7-79E84F511E13}"/>
              </c:ext>
            </c:extLst>
          </c:dPt>
          <c:dPt>
            <c:idx val="5"/>
            <c:invertIfNegative val="0"/>
            <c:bubble3D val="0"/>
            <c:spPr>
              <a:solidFill>
                <a:schemeClr val="accent2">
                  <a:lumMod val="5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B-9DBF-4748-89E7-79E84F511E13}"/>
              </c:ext>
            </c:extLst>
          </c:dPt>
          <c:dPt>
            <c:idx val="6"/>
            <c:invertIfNegative val="0"/>
            <c:bubble3D val="0"/>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A-9DBF-4748-89E7-79E84F511E13}"/>
              </c:ext>
            </c:extLst>
          </c:dPt>
          <c:dPt>
            <c:idx val="7"/>
            <c:invertIfNegative val="0"/>
            <c:bubble3D val="0"/>
            <c:spPr>
              <a:solidFill>
                <a:schemeClr val="accent5">
                  <a:lumMod val="75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9-9DBF-4748-89E7-79E84F511E13}"/>
              </c:ext>
            </c:extLst>
          </c:dPt>
          <c:dPt>
            <c:idx val="8"/>
            <c:invertIfNegative val="0"/>
            <c:bubble3D val="0"/>
            <c:spPr>
              <a:solidFill>
                <a:schemeClr val="accent2">
                  <a:lumMod val="75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8-9DBF-4748-89E7-79E84F511E13}"/>
              </c:ext>
            </c:extLst>
          </c:dPt>
          <c:dPt>
            <c:idx val="9"/>
            <c:invertIfNegative val="0"/>
            <c:bubble3D val="0"/>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7-9DBF-4748-89E7-79E84F511E13}"/>
              </c:ext>
            </c:extLst>
          </c:dPt>
          <c:dPt>
            <c:idx val="10"/>
            <c:invertIfNegative val="0"/>
            <c:bubble3D val="0"/>
            <c:spPr>
              <a:solidFill>
                <a:schemeClr val="accent2">
                  <a:lumMod val="5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6-9DBF-4748-89E7-79E84F511E13}"/>
              </c:ext>
            </c:extLst>
          </c:dPt>
          <c:dPt>
            <c:idx val="11"/>
            <c:invertIfNegative val="0"/>
            <c:bubble3D val="0"/>
            <c:spPr>
              <a:solidFill>
                <a:schemeClr val="accent5">
                  <a:lumMod val="75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5-9DBF-4748-89E7-79E84F511E13}"/>
              </c:ext>
            </c:extLst>
          </c:dPt>
          <c:dPt>
            <c:idx val="12"/>
            <c:invertIfNegative val="0"/>
            <c:bubble3D val="0"/>
            <c:spPr>
              <a:solidFill>
                <a:schemeClr val="accent4">
                  <a:lumMod val="60000"/>
                  <a:lumOff val="4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4-9DBF-4748-89E7-79E84F511E13}"/>
              </c:ext>
            </c:extLst>
          </c:dPt>
          <c:dPt>
            <c:idx val="13"/>
            <c:invertIfNegative val="0"/>
            <c:bubble3D val="0"/>
            <c:spPr>
              <a:solidFill>
                <a:schemeClr val="accent5">
                  <a:lumMod val="60000"/>
                  <a:lumOff val="4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3-9DBF-4748-89E7-79E84F511E13}"/>
              </c:ext>
            </c:extLst>
          </c:dPt>
          <c:dPt>
            <c:idx val="14"/>
            <c:invertIfNegative val="0"/>
            <c:bubble3D val="0"/>
            <c:spPr>
              <a:solidFill>
                <a:schemeClr val="accent2">
                  <a:lumMod val="75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02-9DBF-4748-89E7-79E84F511E13}"/>
              </c:ext>
            </c:extLst>
          </c:dPt>
          <c:dPt>
            <c:idx val="15"/>
            <c:invertIfNegative val="0"/>
            <c:bubble3D val="0"/>
            <c:spPr>
              <a:solidFill>
                <a:schemeClr val="accent4">
                  <a:lumMod val="80000"/>
                  <a:lumOff val="2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1F-1FF6-498D-A796-DB76A67D1852}"/>
              </c:ext>
            </c:extLst>
          </c:dPt>
          <c:dPt>
            <c:idx val="16"/>
            <c:invertIfNegative val="0"/>
            <c:bubble3D val="0"/>
            <c:spPr>
              <a:solidFill>
                <a:schemeClr val="accent5">
                  <a:lumMod val="80000"/>
                  <a:lumOff val="20000"/>
                </a:schemeClr>
              </a:solidFill>
              <a:ln>
                <a:noFill/>
              </a:ln>
              <a:effectLst/>
              <a:scene3d>
                <a:camera prst="orthographicFront"/>
                <a:lightRig rig="threePt" dir="t"/>
              </a:scene3d>
              <a:sp3d prstMaterial="plastic">
                <a:bevelT w="317500" h="317500"/>
                <a:bevelB w="317500" h="317500"/>
              </a:sp3d>
            </c:spPr>
            <c:extLst>
              <c:ext xmlns:c16="http://schemas.microsoft.com/office/drawing/2014/chart" uri="{C3380CC4-5D6E-409C-BE32-E72D297353CC}">
                <c16:uniqueId val="{00000021-1FF6-498D-A796-DB76A67D1852}"/>
              </c:ext>
            </c:extLst>
          </c:dPt>
          <c:cat>
            <c:strRef>
              <c:f>'Top 15 Performing Managers'!$A$4:$A$19</c:f>
              <c:strCache>
                <c:ptCount val="15"/>
                <c:pt idx="0">
                  <c:v>Alex Sweetwater</c:v>
                </c:pt>
                <c:pt idx="1">
                  <c:v>Lynn Daneault</c:v>
                </c:pt>
                <c:pt idx="2">
                  <c:v>Peter Monroe</c:v>
                </c:pt>
                <c:pt idx="3">
                  <c:v>John Smith</c:v>
                </c:pt>
                <c:pt idx="4">
                  <c:v>Simon Roup</c:v>
                </c:pt>
                <c:pt idx="5">
                  <c:v>Janet King</c:v>
                </c:pt>
                <c:pt idx="6">
                  <c:v>Ketsia Liebig</c:v>
                </c:pt>
                <c:pt idx="7">
                  <c:v>David Stanley</c:v>
                </c:pt>
                <c:pt idx="8">
                  <c:v>Webster Butler</c:v>
                </c:pt>
                <c:pt idx="9">
                  <c:v>Amy Dunn</c:v>
                </c:pt>
                <c:pt idx="10">
                  <c:v>Kelley Spirea</c:v>
                </c:pt>
                <c:pt idx="11">
                  <c:v>Brannon Miller</c:v>
                </c:pt>
                <c:pt idx="12">
                  <c:v>Kissy Sullivan</c:v>
                </c:pt>
                <c:pt idx="13">
                  <c:v>Michael Albert</c:v>
                </c:pt>
                <c:pt idx="14">
                  <c:v>Elijiah Gray</c:v>
                </c:pt>
              </c:strCache>
            </c:strRef>
          </c:cat>
          <c:val>
            <c:numRef>
              <c:f>'Top 15 Performing Managers'!$B$4:$B$19</c:f>
              <c:numCache>
                <c:formatCode>0</c:formatCode>
                <c:ptCount val="15"/>
                <c:pt idx="0">
                  <c:v>9</c:v>
                </c:pt>
                <c:pt idx="1">
                  <c:v>13</c:v>
                </c:pt>
                <c:pt idx="2">
                  <c:v>14</c:v>
                </c:pt>
                <c:pt idx="3">
                  <c:v>14</c:v>
                </c:pt>
                <c:pt idx="4">
                  <c:v>17</c:v>
                </c:pt>
                <c:pt idx="5">
                  <c:v>19</c:v>
                </c:pt>
                <c:pt idx="6">
                  <c:v>21</c:v>
                </c:pt>
                <c:pt idx="7">
                  <c:v>21</c:v>
                </c:pt>
                <c:pt idx="8">
                  <c:v>21</c:v>
                </c:pt>
                <c:pt idx="9">
                  <c:v>21</c:v>
                </c:pt>
                <c:pt idx="10">
                  <c:v>22</c:v>
                </c:pt>
                <c:pt idx="11">
                  <c:v>22</c:v>
                </c:pt>
                <c:pt idx="12">
                  <c:v>22</c:v>
                </c:pt>
                <c:pt idx="13">
                  <c:v>22</c:v>
                </c:pt>
                <c:pt idx="14">
                  <c:v>22</c:v>
                </c:pt>
              </c:numCache>
            </c:numRef>
          </c:val>
          <c:extLst>
            <c:ext xmlns:c16="http://schemas.microsoft.com/office/drawing/2014/chart" uri="{C3380CC4-5D6E-409C-BE32-E72D297353CC}">
              <c16:uniqueId val="{00000000-9DBF-4748-89E7-79E84F511E13}"/>
            </c:ext>
          </c:extLst>
        </c:ser>
        <c:dLbls>
          <c:showLegendKey val="0"/>
          <c:showVal val="0"/>
          <c:showCatName val="0"/>
          <c:showSerName val="0"/>
          <c:showPercent val="0"/>
          <c:showBubbleSize val="0"/>
        </c:dLbls>
        <c:gapWidth val="202"/>
        <c:overlap val="100"/>
        <c:axId val="1571455568"/>
        <c:axId val="1571469712"/>
      </c:barChart>
      <c:catAx>
        <c:axId val="1571455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B002"/>
                </a:solidFill>
                <a:latin typeface="Rockwell Condensed" panose="02060603050405020104" pitchFamily="18" charset="0"/>
                <a:ea typeface="+mn-ea"/>
                <a:cs typeface="+mn-cs"/>
              </a:defRPr>
            </a:pPr>
            <a:endParaRPr lang="en-US"/>
          </a:p>
        </c:txPr>
        <c:crossAx val="1571469712"/>
        <c:crosses val="autoZero"/>
        <c:auto val="1"/>
        <c:lblAlgn val="ctr"/>
        <c:lblOffset val="100"/>
        <c:noMultiLvlLbl val="0"/>
      </c:catAx>
      <c:valAx>
        <c:axId val="1571469712"/>
        <c:scaling>
          <c:orientation val="minMax"/>
        </c:scaling>
        <c:delete val="1"/>
        <c:axPos val="b"/>
        <c:numFmt formatCode="0" sourceLinked="1"/>
        <c:majorTickMark val="none"/>
        <c:minorTickMark val="none"/>
        <c:tickLblPos val="nextTo"/>
        <c:crossAx val="157145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by Gender!PivotTable1</c:name>
    <c:fmtId val="6"/>
  </c:pivotSource>
  <c:chart>
    <c:autoTitleDeleted val="1"/>
    <c:pivotFmts>
      <c:pivotFmt>
        <c:idx val="0"/>
        <c:spPr>
          <a:solidFill>
            <a:schemeClr val="accent4">
              <a:lumMod val="50000"/>
            </a:schemeClr>
          </a:solidFill>
          <a:ln w="25400">
            <a:solidFill>
              <a:schemeClr val="lt1"/>
            </a:solidFill>
          </a:ln>
          <a:effectLst>
            <a:outerShdw blurRad="88900" sx="18000" sy="18000" algn="ctr" rotWithShape="0">
              <a:prstClr val="black">
                <a:alpha val="20000"/>
              </a:prstClr>
            </a:outerShdw>
          </a:effectLst>
          <a:scene3d>
            <a:camera prst="orthographicFront"/>
            <a:lightRig rig="threePt" dir="t"/>
          </a:scene3d>
          <a:sp3d contourW="25400" prstMaterial="plastic">
            <a:bevelB w="82550" h="279400"/>
            <a:contourClr>
              <a:schemeClr val="lt1"/>
            </a:contourClr>
          </a:sp3d>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8B0525"/>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9C3E4B"/>
          </a:solidFill>
          <a:ln w="25400">
            <a:solidFill>
              <a:schemeClr val="lt1"/>
            </a:solidFill>
          </a:ln>
          <a:effectLst>
            <a:outerShdw blurRad="88900" sx="18000" sy="18000" algn="ctr" rotWithShape="0">
              <a:prstClr val="black">
                <a:alpha val="20000"/>
              </a:prstClr>
            </a:outerShdw>
          </a:effectLst>
          <a:scene3d>
            <a:camera prst="orthographicFront"/>
            <a:lightRig rig="threePt" dir="t"/>
          </a:scene3d>
          <a:sp3d contourW="25400" prstMaterial="plastic">
            <a:bevelB w="82550" h="279400"/>
            <a:contourClr>
              <a:schemeClr val="lt1"/>
            </a:contourClr>
          </a:sp3d>
        </c:spPr>
        <c:dLbl>
          <c:idx val="0"/>
          <c:tx>
            <c:rich>
              <a:bodyPr rot="0" spcFirstLastPara="1" vertOverflow="clip" horzOverflow="clip" vert="horz" wrap="square" lIns="38100" tIns="19050" rIns="38100" bIns="19050" anchor="ctr" anchorCtr="1">
                <a:spAutoFit/>
              </a:bodyPr>
              <a:lstStyle/>
              <a:p>
                <a:pPr>
                  <a:defRPr sz="700" b="1" i="0" u="none" strike="noStrike" kern="1200" baseline="0">
                    <a:solidFill>
                      <a:srgbClr val="8B0525"/>
                    </a:solidFill>
                    <a:latin typeface="Comic Sans MS" panose="030F0702030302020204" pitchFamily="66" charset="0"/>
                    <a:ea typeface="+mn-ea"/>
                    <a:cs typeface="+mn-cs"/>
                  </a:defRPr>
                </a:pPr>
                <a:r>
                  <a:rPr lang="en-US" baseline="0"/>
                  <a:t> </a:t>
                </a:r>
                <a:fld id="{D4C6873A-325C-4498-9CAC-B6D300C13E76}" type="VALUE">
                  <a:rPr lang="en-US" baseline="0"/>
                  <a:pPr>
                    <a:defRPr sz="700" b="1">
                      <a:solidFill>
                        <a:srgbClr val="8B0525"/>
                      </a:solidFill>
                      <a:latin typeface="Comic Sans MS" panose="030F0702030302020204" pitchFamily="66" charset="0"/>
                    </a:defRPr>
                  </a:pPr>
                  <a:t>[VALUE]</a:t>
                </a:fld>
                <a:endParaRPr lang="en-US" baseline="0"/>
              </a:p>
            </c:rich>
          </c:tx>
          <c:spPr>
            <a:noFill/>
            <a:ln w="9525">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8B0525"/>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51202220412103"/>
                  <c:h val="0.25030493954338923"/>
                </c:manualLayout>
              </c15:layout>
              <c15:dlblFieldTable/>
              <c15:showDataLabelsRange val="0"/>
            </c:ext>
          </c:extLst>
        </c:dLbl>
      </c:pivotFmt>
      <c:pivotFmt>
        <c:idx val="2"/>
        <c:spPr>
          <a:solidFill>
            <a:srgbClr val="002060"/>
          </a:solidFill>
          <a:ln w="25400">
            <a:solidFill>
              <a:schemeClr val="lt1"/>
            </a:solidFill>
          </a:ln>
          <a:effectLst>
            <a:outerShdw blurRad="88900" sx="18000" sy="18000" algn="ctr" rotWithShape="0">
              <a:prstClr val="black">
                <a:alpha val="20000"/>
              </a:prstClr>
            </a:outerShdw>
          </a:effectLst>
          <a:scene3d>
            <a:camera prst="orthographicFront"/>
            <a:lightRig rig="threePt" dir="t"/>
          </a:scene3d>
          <a:sp3d contourW="25400" prstMaterial="plastic">
            <a:bevelB w="82550" h="279400"/>
            <a:contourClr>
              <a:schemeClr val="lt1"/>
            </a:contourClr>
          </a:sp3d>
        </c:spPr>
        <c:dLbl>
          <c:idx val="0"/>
          <c:tx>
            <c:rich>
              <a:bodyPr rot="0" spcFirstLastPara="1" vertOverflow="clip" horzOverflow="clip" vert="horz" wrap="square" lIns="38100" tIns="19050" rIns="38100" bIns="19050" anchor="ctr" anchorCtr="1">
                <a:spAutoFit/>
              </a:bodyPr>
              <a:lstStyle/>
              <a:p>
                <a:pPr>
                  <a:defRPr sz="700" b="1" i="0" u="none" strike="noStrike" kern="1200" baseline="0">
                    <a:solidFill>
                      <a:srgbClr val="8B0525"/>
                    </a:solidFill>
                    <a:latin typeface="Comic Sans MS" panose="030F0702030302020204" pitchFamily="66" charset="0"/>
                    <a:ea typeface="+mn-ea"/>
                    <a:cs typeface="+mn-cs"/>
                  </a:defRPr>
                </a:pPr>
                <a:r>
                  <a:rPr lang="en-US" baseline="0"/>
                  <a:t> </a:t>
                </a:r>
                <a:fld id="{D35FB129-B6A0-4023-83CE-01BFD650ED06}" type="VALUE">
                  <a:rPr lang="en-US" baseline="0"/>
                  <a:pPr>
                    <a:defRPr sz="700" b="1">
                      <a:solidFill>
                        <a:srgbClr val="8B0525"/>
                      </a:solidFill>
                      <a:latin typeface="Comic Sans MS" panose="030F0702030302020204" pitchFamily="66" charset="0"/>
                    </a:defRPr>
                  </a:pPr>
                  <a:t>[VALUE]</a:t>
                </a:fld>
                <a:endParaRPr lang="en-US" baseline="0"/>
              </a:p>
            </c:rich>
          </c:tx>
          <c:spPr>
            <a:noFill/>
            <a:ln w="9525">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8B0525"/>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111352460252806"/>
                  <c:h val="0.25030493954338923"/>
                </c:manualLayout>
              </c15:layout>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44444444444445"/>
          <c:y val="0.10022589548753993"/>
          <c:w val="0.8325199844316038"/>
          <c:h val="0.70127779481551689"/>
        </c:manualLayout>
      </c:layout>
      <c:pie3DChart>
        <c:varyColors val="1"/>
        <c:ser>
          <c:idx val="0"/>
          <c:order val="0"/>
          <c:tx>
            <c:strRef>
              <c:f>'Average Salary by Gender'!$B$3</c:f>
              <c:strCache>
                <c:ptCount val="1"/>
                <c:pt idx="0">
                  <c:v>Total</c:v>
                </c:pt>
              </c:strCache>
            </c:strRef>
          </c:tx>
          <c:spPr>
            <a:solidFill>
              <a:schemeClr val="accent4">
                <a:lumMod val="50000"/>
              </a:schemeClr>
            </a:solidFill>
            <a:ln w="25400">
              <a:solidFill>
                <a:schemeClr val="lt1"/>
              </a:solidFill>
            </a:ln>
            <a:effectLst>
              <a:outerShdw blurRad="88900" sx="18000" sy="18000" algn="ctr" rotWithShape="0">
                <a:prstClr val="black">
                  <a:alpha val="20000"/>
                </a:prstClr>
              </a:outerShdw>
            </a:effectLst>
            <a:scene3d>
              <a:camera prst="orthographicFront"/>
              <a:lightRig rig="threePt" dir="t"/>
            </a:scene3d>
            <a:sp3d prstMaterial="plastic">
              <a:bevelB w="82550" h="279400"/>
            </a:sp3d>
          </c:spPr>
          <c:dPt>
            <c:idx val="0"/>
            <c:bubble3D val="0"/>
            <c:spPr>
              <a:solidFill>
                <a:srgbClr val="9C3E4B"/>
              </a:solidFill>
              <a:ln w="25400">
                <a:solidFill>
                  <a:schemeClr val="lt1"/>
                </a:solidFill>
              </a:ln>
              <a:effectLst>
                <a:outerShdw blurRad="88900" sx="18000" sy="18000" algn="ctr" rotWithShape="0">
                  <a:prstClr val="black">
                    <a:alpha val="20000"/>
                  </a:prstClr>
                </a:outerShdw>
              </a:effectLst>
              <a:scene3d>
                <a:camera prst="orthographicFront"/>
                <a:lightRig rig="threePt" dir="t"/>
              </a:scene3d>
              <a:sp3d contourW="25400" prstMaterial="plastic">
                <a:bevelB w="82550" h="279400"/>
                <a:contourClr>
                  <a:schemeClr val="lt1"/>
                </a:contourClr>
              </a:sp3d>
            </c:spPr>
            <c:extLst>
              <c:ext xmlns:c16="http://schemas.microsoft.com/office/drawing/2014/chart" uri="{C3380CC4-5D6E-409C-BE32-E72D297353CC}">
                <c16:uniqueId val="{00000002-2740-4645-9B6F-A8E72782C7D5}"/>
              </c:ext>
            </c:extLst>
          </c:dPt>
          <c:dPt>
            <c:idx val="1"/>
            <c:bubble3D val="0"/>
            <c:spPr>
              <a:solidFill>
                <a:srgbClr val="002060"/>
              </a:solidFill>
              <a:ln w="25400">
                <a:solidFill>
                  <a:schemeClr val="lt1"/>
                </a:solidFill>
              </a:ln>
              <a:effectLst>
                <a:outerShdw blurRad="88900" sx="18000" sy="18000" algn="ctr" rotWithShape="0">
                  <a:prstClr val="black">
                    <a:alpha val="20000"/>
                  </a:prstClr>
                </a:outerShdw>
              </a:effectLst>
              <a:scene3d>
                <a:camera prst="orthographicFront"/>
                <a:lightRig rig="threePt" dir="t"/>
              </a:scene3d>
              <a:sp3d contourW="25400" prstMaterial="plastic">
                <a:bevelB w="82550" h="279400"/>
                <a:contourClr>
                  <a:schemeClr val="lt1"/>
                </a:contourClr>
              </a:sp3d>
            </c:spPr>
            <c:extLst>
              <c:ext xmlns:c16="http://schemas.microsoft.com/office/drawing/2014/chart" uri="{C3380CC4-5D6E-409C-BE32-E72D297353CC}">
                <c16:uniqueId val="{00000003-2740-4645-9B6F-A8E72782C7D5}"/>
              </c:ext>
            </c:extLst>
          </c:dPt>
          <c:dLbls>
            <c:dLbl>
              <c:idx val="0"/>
              <c:tx>
                <c:rich>
                  <a:bodyPr/>
                  <a:lstStyle/>
                  <a:p>
                    <a:r>
                      <a:rPr lang="en-US" baseline="0"/>
                      <a:t> </a:t>
                    </a:r>
                    <a:fld id="{D4C6873A-325C-4498-9CAC-B6D300C13E76}"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layout>
                    <c:manualLayout>
                      <c:w val="0.34451202220412103"/>
                      <c:h val="0.25030493954338923"/>
                    </c:manualLayout>
                  </c15:layout>
                  <c15:dlblFieldTable/>
                  <c15:showDataLabelsRange val="0"/>
                </c:ext>
                <c:ext xmlns:c16="http://schemas.microsoft.com/office/drawing/2014/chart" uri="{C3380CC4-5D6E-409C-BE32-E72D297353CC}">
                  <c16:uniqueId val="{00000002-2740-4645-9B6F-A8E72782C7D5}"/>
                </c:ext>
              </c:extLst>
            </c:dLbl>
            <c:dLbl>
              <c:idx val="1"/>
              <c:tx>
                <c:rich>
                  <a:bodyPr/>
                  <a:lstStyle/>
                  <a:p>
                    <a:r>
                      <a:rPr lang="en-US" baseline="0"/>
                      <a:t> </a:t>
                    </a:r>
                    <a:fld id="{D35FB129-B6A0-4023-83CE-01BFD650ED06}" type="VALUE">
                      <a:rPr lang="en-US" baseline="0"/>
                      <a:pPr/>
                      <a:t>[VALUE]</a:t>
                    </a:fld>
                    <a:endParaRPr lang="en-US" baseline="0"/>
                  </a:p>
                </c:rich>
              </c:tx>
              <c:dLblPos val="bestFit"/>
              <c:showLegendKey val="0"/>
              <c:showVal val="1"/>
              <c:showCatName val="0"/>
              <c:showSerName val="0"/>
              <c:showPercent val="0"/>
              <c:showBubbleSize val="0"/>
              <c:extLst>
                <c:ext xmlns:c15="http://schemas.microsoft.com/office/drawing/2012/chart" uri="{CE6537A1-D6FC-4f65-9D91-7224C49458BB}">
                  <c15:layout>
                    <c:manualLayout>
                      <c:w val="0.31111352460252806"/>
                      <c:h val="0.25030493954338923"/>
                    </c:manualLayout>
                  </c15:layout>
                  <c15:dlblFieldTable/>
                  <c15:showDataLabelsRange val="0"/>
                </c:ext>
                <c:ext xmlns:c16="http://schemas.microsoft.com/office/drawing/2014/chart" uri="{C3380CC4-5D6E-409C-BE32-E72D297353CC}">
                  <c16:uniqueId val="{00000003-2740-4645-9B6F-A8E72782C7D5}"/>
                </c:ext>
              </c:extLst>
            </c:dLbl>
            <c:spPr>
              <a:noFill/>
              <a:ln w="9525">
                <a:no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8B0525"/>
                    </a:solidFill>
                    <a:latin typeface="Comic Sans MS" panose="030F0702030302020204" pitchFamily="66" charset="0"/>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'Average Salary by Gender'!$A$4:$A$6</c:f>
              <c:strCache>
                <c:ptCount val="2"/>
                <c:pt idx="0">
                  <c:v>F</c:v>
                </c:pt>
                <c:pt idx="1">
                  <c:v>M </c:v>
                </c:pt>
              </c:strCache>
            </c:strRef>
          </c:cat>
          <c:val>
            <c:numRef>
              <c:f>'Average Salary by Gender'!$B$4:$B$6</c:f>
              <c:numCache>
                <c:formatCode>[&gt;=1000000]"$"#,###,,"M";[&gt;=1000]"$"#,###,"K";"$"0</c:formatCode>
                <c:ptCount val="2"/>
                <c:pt idx="0">
                  <c:v>67786.727272727279</c:v>
                </c:pt>
                <c:pt idx="1">
                  <c:v>70629.399999999994</c:v>
                </c:pt>
              </c:numCache>
            </c:numRef>
          </c:val>
          <c:extLst>
            <c:ext xmlns:c16="http://schemas.microsoft.com/office/drawing/2014/chart" uri="{C3380CC4-5D6E-409C-BE32-E72D297353CC}">
              <c16:uniqueId val="{00000000-2740-4645-9B6F-A8E72782C7D5}"/>
            </c:ext>
          </c:extLst>
        </c:ser>
        <c:dLbls>
          <c:dLblPos val="bestFit"/>
          <c:showLegendKey val="0"/>
          <c:showVal val="0"/>
          <c:showCatName val="0"/>
          <c:showSerName val="0"/>
          <c:showPercent val="0"/>
          <c:showBubbleSize val="0"/>
          <c:showLeaderLines val="0"/>
        </c:dLbls>
      </c:pie3DChart>
      <c:spPr>
        <a:noFill/>
        <a:ln w="38100" cap="rnd">
          <a:solidFill>
            <a:schemeClr val="lt1">
              <a:alpha val="91000"/>
            </a:schemeClr>
          </a:solidFill>
          <a:beve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rgbClr val="17B002"/>
              </a:solidFill>
              <a:latin typeface="Arial Narrow" panose="020B0606020202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FILE.xlsx]Average Salary by Race!PivotTable1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s>
    <c:plotArea>
      <c:layout>
        <c:manualLayout>
          <c:layoutTarget val="inner"/>
          <c:xMode val="edge"/>
          <c:yMode val="edge"/>
          <c:x val="4.6858359957401494E-2"/>
          <c:y val="9.2807447200844578E-2"/>
          <c:w val="0.90628328008519698"/>
          <c:h val="0.51438953891993555"/>
        </c:manualLayout>
      </c:layout>
      <c:barChart>
        <c:barDir val="col"/>
        <c:grouping val="clustered"/>
        <c:varyColors val="1"/>
        <c:ser>
          <c:idx val="0"/>
          <c:order val="0"/>
          <c:tx>
            <c:strRef>
              <c:f>'Average Salary by Race'!$B$3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857A-4361-B0FB-A77A4EA27C4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EAC6-4256-8C77-3D5FA2D3245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AC6-4256-8C77-3D5FA2D3245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EAC6-4256-8C77-3D5FA2D3245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EAC6-4256-8C77-3D5FA2D3245A}"/>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3-857A-4361-B0FB-A77A4EA27C49}"/>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8B0525"/>
                    </a:solidFill>
                    <a:latin typeface="Comic Sans MS" panose="030F0702030302020204" pitchFamily="66"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Race'!$A$4:$A$10</c:f>
              <c:strCache>
                <c:ptCount val="6"/>
                <c:pt idx="0">
                  <c:v>American Indian or Alaska Native</c:v>
                </c:pt>
                <c:pt idx="1">
                  <c:v>Asian</c:v>
                </c:pt>
                <c:pt idx="2">
                  <c:v>Black or African American</c:v>
                </c:pt>
                <c:pt idx="3">
                  <c:v>Hispanic</c:v>
                </c:pt>
                <c:pt idx="4">
                  <c:v>Two or more races</c:v>
                </c:pt>
                <c:pt idx="5">
                  <c:v>White</c:v>
                </c:pt>
              </c:strCache>
            </c:strRef>
          </c:cat>
          <c:val>
            <c:numRef>
              <c:f>'Average Salary by Race'!$B$4:$B$10</c:f>
              <c:numCache>
                <c:formatCode>[&gt;=1000000]"$"#,###,,"M";[&gt;=1000]"$"#,###,"K";"$"0</c:formatCode>
                <c:ptCount val="6"/>
                <c:pt idx="0">
                  <c:v>65806</c:v>
                </c:pt>
                <c:pt idx="1">
                  <c:v>68521.206896551725</c:v>
                </c:pt>
                <c:pt idx="2">
                  <c:v>74431.024999999994</c:v>
                </c:pt>
                <c:pt idx="3">
                  <c:v>83667</c:v>
                </c:pt>
                <c:pt idx="4">
                  <c:v>59998.181818181816</c:v>
                </c:pt>
                <c:pt idx="5">
                  <c:v>67287.545454545456</c:v>
                </c:pt>
              </c:numCache>
            </c:numRef>
          </c:val>
          <c:extLst>
            <c:ext xmlns:c16="http://schemas.microsoft.com/office/drawing/2014/chart" uri="{C3380CC4-5D6E-409C-BE32-E72D297353CC}">
              <c16:uniqueId val="{00000000-857A-4361-B0FB-A77A4EA27C49}"/>
            </c:ext>
          </c:extLst>
        </c:ser>
        <c:dLbls>
          <c:showLegendKey val="0"/>
          <c:showVal val="0"/>
          <c:showCatName val="0"/>
          <c:showSerName val="0"/>
          <c:showPercent val="0"/>
          <c:showBubbleSize val="0"/>
        </c:dLbls>
        <c:gapWidth val="200"/>
        <c:overlap val="-28"/>
        <c:axId val="1571457232"/>
        <c:axId val="1571468880"/>
      </c:barChart>
      <c:catAx>
        <c:axId val="157145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B002"/>
                </a:solidFill>
                <a:latin typeface="Rockwell Condensed" panose="02060603050405020104" pitchFamily="18" charset="0"/>
                <a:ea typeface="+mn-ea"/>
                <a:cs typeface="+mn-cs"/>
              </a:defRPr>
            </a:pPr>
            <a:endParaRPr lang="en-US"/>
          </a:p>
        </c:txPr>
        <c:crossAx val="1571468880"/>
        <c:crosses val="autoZero"/>
        <c:auto val="1"/>
        <c:lblAlgn val="ctr"/>
        <c:lblOffset val="100"/>
        <c:noMultiLvlLbl val="0"/>
      </c:catAx>
      <c:valAx>
        <c:axId val="1571468880"/>
        <c:scaling>
          <c:orientation val="minMax"/>
        </c:scaling>
        <c:delete val="1"/>
        <c:axPos val="l"/>
        <c:majorGridlines>
          <c:spPr>
            <a:ln w="9525" cap="flat" cmpd="sng" algn="ctr">
              <a:solidFill>
                <a:schemeClr val="tx1">
                  <a:lumMod val="15000"/>
                  <a:lumOff val="85000"/>
                </a:schemeClr>
              </a:solidFill>
              <a:round/>
            </a:ln>
            <a:effectLst/>
          </c:spPr>
        </c:majorGridlines>
        <c:numFmt formatCode="[&gt;=1000000]&quot;$&quot;#,###,,&quot;M&quot;;[&gt;=1000]&quot;$&quot;#,###,&quot;K&quot;;&quot;$&quot;0" sourceLinked="1"/>
        <c:majorTickMark val="none"/>
        <c:minorTickMark val="none"/>
        <c:tickLblPos val="nextTo"/>
        <c:crossAx val="157145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PROJECT FILE.xlsx]Top 10 Earners!PivotTable1</c:name>
    <c:fmtId val="1"/>
  </c:pivotSource>
  <c:chart>
    <c:autoTitleDeleted val="1"/>
    <c:pivotFmts>
      <c:pivotFmt>
        <c:idx val="0"/>
        <c:spPr>
          <a:solidFill>
            <a:srgbClr val="003300"/>
          </a:solidFill>
          <a:ln>
            <a:noFill/>
          </a:ln>
          <a:effectLst/>
        </c:spPr>
        <c:marker>
          <c:symbol val="none"/>
        </c:marker>
        <c:dLbl>
          <c:idx val="0"/>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700" b="1" i="0" u="none" strike="noStrike" kern="1200" baseline="0">
                  <a:solidFill>
                    <a:srgbClr val="8B0525"/>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151742781564"/>
          <c:y val="6.9569675808036566E-2"/>
          <c:w val="0.67767467357719524"/>
          <c:h val="0.88474134662864312"/>
        </c:manualLayout>
      </c:layout>
      <c:barChart>
        <c:barDir val="bar"/>
        <c:grouping val="clustered"/>
        <c:varyColors val="0"/>
        <c:ser>
          <c:idx val="0"/>
          <c:order val="0"/>
          <c:tx>
            <c:strRef>
              <c:f>'Top 10 Earners'!$B$3</c:f>
              <c:strCache>
                <c:ptCount val="1"/>
                <c:pt idx="0">
                  <c:v>Total</c:v>
                </c:pt>
              </c:strCache>
            </c:strRef>
          </c:tx>
          <c:spPr>
            <a:solidFill>
              <a:srgbClr val="003300"/>
            </a:solidFill>
            <a:ln>
              <a:noFill/>
            </a:ln>
            <a:effectLst/>
          </c:spPr>
          <c:invertIfNegative val="0"/>
          <c:dLbls>
            <c:spPr>
              <a:noFill/>
              <a:ln>
                <a:noFill/>
              </a:ln>
              <a:effectLst>
                <a:glow rad="127000">
                  <a:srgbClr val="00B0F0"/>
                </a:glow>
              </a:effectLst>
            </c:spPr>
            <c:txPr>
              <a:bodyPr rot="0" spcFirstLastPara="1" vertOverflow="ellipsis" vert="horz" wrap="square" lIns="0" tIns="19050" rIns="0" bIns="19050" anchor="ctr" anchorCtr="0">
                <a:spAutoFit/>
              </a:bodyPr>
              <a:lstStyle/>
              <a:p>
                <a:pPr algn="l">
                  <a:defRPr sz="700" b="1" i="0" u="none" strike="noStrike" kern="1200" baseline="0">
                    <a:solidFill>
                      <a:srgbClr val="8B0525"/>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10 Earners'!$A$4:$A$14</c:f>
              <c:strCache>
                <c:ptCount val="10"/>
                <c:pt idx="0">
                  <c:v>Dougall, Eric</c:v>
                </c:pt>
                <c:pt idx="1">
                  <c:v>Roup,Simon</c:v>
                </c:pt>
                <c:pt idx="2">
                  <c:v>Ruiz, Ricardo</c:v>
                </c:pt>
                <c:pt idx="3">
                  <c:v>Roper, Katie</c:v>
                </c:pt>
                <c:pt idx="4">
                  <c:v>Monroe, Peter</c:v>
                </c:pt>
                <c:pt idx="5">
                  <c:v>Corleone, Vito</c:v>
                </c:pt>
                <c:pt idx="6">
                  <c:v>Foss, Jason</c:v>
                </c:pt>
                <c:pt idx="7">
                  <c:v>Houlihan, Debra</c:v>
                </c:pt>
                <c:pt idx="8">
                  <c:v>Zamora, Jennifer</c:v>
                </c:pt>
                <c:pt idx="9">
                  <c:v>King, Janet</c:v>
                </c:pt>
              </c:strCache>
            </c:strRef>
          </c:cat>
          <c:val>
            <c:numRef>
              <c:f>'Top 10 Earners'!$B$4:$B$14</c:f>
              <c:numCache>
                <c:formatCode>[&gt;=1000000]"$"#,###,,"M";[&gt;=1000]"$"#,###,"K";"$"0</c:formatCode>
                <c:ptCount val="10"/>
                <c:pt idx="0">
                  <c:v>138888</c:v>
                </c:pt>
                <c:pt idx="1">
                  <c:v>140920</c:v>
                </c:pt>
                <c:pt idx="2">
                  <c:v>148999</c:v>
                </c:pt>
                <c:pt idx="3">
                  <c:v>150290</c:v>
                </c:pt>
                <c:pt idx="4">
                  <c:v>157000</c:v>
                </c:pt>
                <c:pt idx="5">
                  <c:v>170500</c:v>
                </c:pt>
                <c:pt idx="6">
                  <c:v>178000</c:v>
                </c:pt>
                <c:pt idx="7">
                  <c:v>180000</c:v>
                </c:pt>
                <c:pt idx="8">
                  <c:v>220450</c:v>
                </c:pt>
                <c:pt idx="9">
                  <c:v>250000</c:v>
                </c:pt>
              </c:numCache>
            </c:numRef>
          </c:val>
          <c:extLst>
            <c:ext xmlns:c16="http://schemas.microsoft.com/office/drawing/2014/chart" uri="{C3380CC4-5D6E-409C-BE32-E72D297353CC}">
              <c16:uniqueId val="{00000000-822A-4601-8426-910D5C689583}"/>
            </c:ext>
          </c:extLst>
        </c:ser>
        <c:dLbls>
          <c:dLblPos val="outEnd"/>
          <c:showLegendKey val="0"/>
          <c:showVal val="1"/>
          <c:showCatName val="0"/>
          <c:showSerName val="0"/>
          <c:showPercent val="0"/>
          <c:showBubbleSize val="0"/>
        </c:dLbls>
        <c:gapWidth val="160"/>
        <c:axId val="1571437264"/>
        <c:axId val="1571429776"/>
      </c:barChart>
      <c:catAx>
        <c:axId val="157143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rgbClr val="17B002"/>
                </a:solidFill>
                <a:latin typeface="Rockwell Condensed" panose="02060603050405020104" pitchFamily="18" charset="0"/>
                <a:ea typeface="+mn-ea"/>
                <a:cs typeface="+mn-cs"/>
              </a:defRPr>
            </a:pPr>
            <a:endParaRPr lang="en-US"/>
          </a:p>
        </c:txPr>
        <c:crossAx val="1571429776"/>
        <c:crosses val="autoZero"/>
        <c:auto val="1"/>
        <c:lblAlgn val="ctr"/>
        <c:lblOffset val="100"/>
        <c:noMultiLvlLbl val="0"/>
      </c:catAx>
      <c:valAx>
        <c:axId val="1571429776"/>
        <c:scaling>
          <c:orientation val="minMax"/>
        </c:scaling>
        <c:delete val="1"/>
        <c:axPos val="b"/>
        <c:numFmt formatCode="[&gt;=1000000]&quot;$&quot;#,###,,&quot;M&quot;;[&gt;=1000]&quot;$&quot;#,###,&quot;K&quot;;&quot;$&quot;0" sourceLinked="1"/>
        <c:majorTickMark val="none"/>
        <c:minorTickMark val="none"/>
        <c:tickLblPos val="nextTo"/>
        <c:crossAx val="157143726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5.jpeg"/><Relationship Id="rId18" Type="http://schemas.openxmlformats.org/officeDocument/2006/relationships/hyperlink" Target="https://www.pexels.com/photo/crop-payroll-clerk-counting-money-while-sitting-at-table-4475523/" TargetMode="External"/><Relationship Id="rId26" Type="http://schemas.openxmlformats.org/officeDocument/2006/relationships/hyperlink" Target="https://uciteljicaljilja.wordpress.com/2015/10/05/" TargetMode="External"/><Relationship Id="rId3" Type="http://schemas.openxmlformats.org/officeDocument/2006/relationships/chart" Target="../charts/chart3.xml"/><Relationship Id="rId21" Type="http://schemas.openxmlformats.org/officeDocument/2006/relationships/hyperlink" Target="https://svgsilh.com/image/149577.html" TargetMode="External"/><Relationship Id="rId34" Type="http://schemas.openxmlformats.org/officeDocument/2006/relationships/hyperlink" Target="https://svgsilh.com/image/24185.html" TargetMode="Externa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7.jpeg"/><Relationship Id="rId25" Type="http://schemas.openxmlformats.org/officeDocument/2006/relationships/image" Target="../media/image12.png"/><Relationship Id="rId33" Type="http://schemas.openxmlformats.org/officeDocument/2006/relationships/image" Target="../media/image16.svg"/><Relationship Id="rId2" Type="http://schemas.openxmlformats.org/officeDocument/2006/relationships/chart" Target="../charts/chart2.xml"/><Relationship Id="rId16" Type="http://schemas.openxmlformats.org/officeDocument/2006/relationships/hyperlink" Target="https://clarity.africa/employee-benefits-roi-south-africa/" TargetMode="External"/><Relationship Id="rId20" Type="http://schemas.openxmlformats.org/officeDocument/2006/relationships/image" Target="../media/image9.svg"/><Relationship Id="rId29" Type="http://schemas.openxmlformats.org/officeDocument/2006/relationships/hyperlink" Target="https://creativecommons.org/licenses/by/3.0/" TargetMode="Externa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24" Type="http://schemas.openxmlformats.org/officeDocument/2006/relationships/image" Target="../media/image11.jpeg"/><Relationship Id="rId32" Type="http://schemas.openxmlformats.org/officeDocument/2006/relationships/image" Target="../media/image15.png"/><Relationship Id="rId5" Type="http://schemas.openxmlformats.org/officeDocument/2006/relationships/chart" Target="../charts/chart5.xml"/><Relationship Id="rId15" Type="http://schemas.openxmlformats.org/officeDocument/2006/relationships/image" Target="../media/image6.jpeg"/><Relationship Id="rId23" Type="http://schemas.openxmlformats.org/officeDocument/2006/relationships/hyperlink" Target="https://pixabay.com/en/dollar-money-president-of-the-u-s-a-1362243/" TargetMode="External"/><Relationship Id="rId28" Type="http://schemas.openxmlformats.org/officeDocument/2006/relationships/hyperlink" Target="https://www.frontiersin.org/articles/10.3389/fpsyg.2020.00208/full?report=reader" TargetMode="External"/><Relationship Id="rId10" Type="http://schemas.openxmlformats.org/officeDocument/2006/relationships/chart" Target="../charts/chart6.xml"/><Relationship Id="rId19" Type="http://schemas.openxmlformats.org/officeDocument/2006/relationships/image" Target="../media/image8.png"/><Relationship Id="rId31" Type="http://schemas.openxmlformats.org/officeDocument/2006/relationships/hyperlink" Target="https://www.peoplematters.in/article/culture/what-goes-into-creating-a-high-performance-organization-23429" TargetMode="Externa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hyperlink" Target="https://pixabay.com/p-500872/?no_redirect" TargetMode="External"/><Relationship Id="rId22" Type="http://schemas.openxmlformats.org/officeDocument/2006/relationships/image" Target="../media/image10.jpeg"/><Relationship Id="rId27" Type="http://schemas.openxmlformats.org/officeDocument/2006/relationships/image" Target="../media/image13.jpeg"/><Relationship Id="rId30" Type="http://schemas.openxmlformats.org/officeDocument/2006/relationships/image" Target="../media/image14.jpeg"/><Relationship Id="rId35" Type="http://schemas.openxmlformats.org/officeDocument/2006/relationships/chart" Target="../charts/chart9.xml"/><Relationship Id="rId8"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119062</xdr:colOff>
      <xdr:row>0</xdr:row>
      <xdr:rowOff>108869</xdr:rowOff>
    </xdr:from>
    <xdr:to>
      <xdr:col>13</xdr:col>
      <xdr:colOff>67543</xdr:colOff>
      <xdr:row>23</xdr:row>
      <xdr:rowOff>9526</xdr:rowOff>
    </xdr:to>
    <xdr:grpSp>
      <xdr:nvGrpSpPr>
        <xdr:cNvPr id="12" name="Group 11">
          <a:extLst>
            <a:ext uri="{FF2B5EF4-FFF2-40B4-BE49-F238E27FC236}">
              <a16:creationId xmlns:a16="http://schemas.microsoft.com/office/drawing/2014/main" id="{FC228C01-E702-4519-942F-0F6F3B985DEF}"/>
            </a:ext>
          </a:extLst>
        </xdr:cNvPr>
        <xdr:cNvGrpSpPr/>
      </xdr:nvGrpSpPr>
      <xdr:grpSpPr>
        <a:xfrm>
          <a:off x="119062" y="108869"/>
          <a:ext cx="11848546" cy="5677508"/>
          <a:chOff x="119062" y="108869"/>
          <a:chExt cx="11866637" cy="5734720"/>
        </a:xfrm>
      </xdr:grpSpPr>
      <xdr:grpSp>
        <xdr:nvGrpSpPr>
          <xdr:cNvPr id="3" name="Group 2">
            <a:extLst>
              <a:ext uri="{FF2B5EF4-FFF2-40B4-BE49-F238E27FC236}">
                <a16:creationId xmlns:a16="http://schemas.microsoft.com/office/drawing/2014/main" id="{476026DC-5D63-4A9E-9568-013954223BF9}"/>
              </a:ext>
            </a:extLst>
          </xdr:cNvPr>
          <xdr:cNvGrpSpPr/>
        </xdr:nvGrpSpPr>
        <xdr:grpSpPr>
          <a:xfrm>
            <a:off x="119062" y="108869"/>
            <a:ext cx="11866637" cy="5734720"/>
            <a:chOff x="177800" y="1533526"/>
            <a:chExt cx="11059202" cy="4419600"/>
          </a:xfrm>
          <a:solidFill>
            <a:schemeClr val="accent2">
              <a:lumMod val="40000"/>
              <a:lumOff val="60000"/>
            </a:schemeClr>
          </a:solidFill>
        </xdr:grpSpPr>
        <xdr:sp macro="" textlink="">
          <xdr:nvSpPr>
            <xdr:cNvPr id="43" name="Rectangle: Rounded Corners 42">
              <a:extLst>
                <a:ext uri="{FF2B5EF4-FFF2-40B4-BE49-F238E27FC236}">
                  <a16:creationId xmlns:a16="http://schemas.microsoft.com/office/drawing/2014/main" id="{4D34FC67-3874-4CFD-B026-FBED4A0A03B9}"/>
                </a:ext>
              </a:extLst>
            </xdr:cNvPr>
            <xdr:cNvSpPr/>
          </xdr:nvSpPr>
          <xdr:spPr>
            <a:xfrm>
              <a:off x="177800" y="1533526"/>
              <a:ext cx="11059202" cy="4419600"/>
            </a:xfrm>
            <a:prstGeom prst="roundRect">
              <a:avLst>
                <a:gd name="adj" fmla="val 2611"/>
              </a:avLst>
            </a:prstGeom>
            <a:solidFill>
              <a:srgbClr val="00206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solidFill>
                    <a:schemeClr val="accent5">
                      <a:lumMod val="40000"/>
                      <a:lumOff val="60000"/>
                    </a:schemeClr>
                  </a:solidFill>
                </a:rPr>
                <a:t>  </a:t>
              </a:r>
            </a:p>
          </xdr:txBody>
        </xdr:sp>
        <xdr:sp macro="" textlink="">
          <xdr:nvSpPr>
            <xdr:cNvPr id="44" name="Rectangle: Rounded Corners 43">
              <a:extLst>
                <a:ext uri="{FF2B5EF4-FFF2-40B4-BE49-F238E27FC236}">
                  <a16:creationId xmlns:a16="http://schemas.microsoft.com/office/drawing/2014/main" id="{D2ED4FA9-A234-40FB-873B-1DDE47933383}"/>
                </a:ext>
              </a:extLst>
            </xdr:cNvPr>
            <xdr:cNvSpPr/>
          </xdr:nvSpPr>
          <xdr:spPr>
            <a:xfrm>
              <a:off x="219076" y="1593095"/>
              <a:ext cx="2899413" cy="435730"/>
            </a:xfrm>
            <a:prstGeom prst="roundRect">
              <a:avLst>
                <a:gd name="adj" fmla="val 30924"/>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5" name="Rectangle: Rounded Corners 44">
              <a:extLst>
                <a:ext uri="{FF2B5EF4-FFF2-40B4-BE49-F238E27FC236}">
                  <a16:creationId xmlns:a16="http://schemas.microsoft.com/office/drawing/2014/main" id="{9A6F2B8C-AF7D-4274-B678-7FD8DD2BFCCB}"/>
                </a:ext>
              </a:extLst>
            </xdr:cNvPr>
            <xdr:cNvSpPr/>
          </xdr:nvSpPr>
          <xdr:spPr>
            <a:xfrm>
              <a:off x="219076" y="2096510"/>
              <a:ext cx="2686050" cy="2164674"/>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6" name="Rectangle: Rounded Corners 45">
              <a:extLst>
                <a:ext uri="{FF2B5EF4-FFF2-40B4-BE49-F238E27FC236}">
                  <a16:creationId xmlns:a16="http://schemas.microsoft.com/office/drawing/2014/main" id="{47D816AC-DF15-441A-B68B-92888765418A}"/>
                </a:ext>
              </a:extLst>
            </xdr:cNvPr>
            <xdr:cNvSpPr/>
          </xdr:nvSpPr>
          <xdr:spPr>
            <a:xfrm>
              <a:off x="8458199" y="2442411"/>
              <a:ext cx="2726950" cy="1216556"/>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7" name="Rectangle: Rounded Corners 46">
              <a:extLst>
                <a:ext uri="{FF2B5EF4-FFF2-40B4-BE49-F238E27FC236}">
                  <a16:creationId xmlns:a16="http://schemas.microsoft.com/office/drawing/2014/main" id="{F3096E21-226C-49A3-843F-61EFB70626F6}"/>
                </a:ext>
              </a:extLst>
            </xdr:cNvPr>
            <xdr:cNvSpPr/>
          </xdr:nvSpPr>
          <xdr:spPr>
            <a:xfrm>
              <a:off x="2952750" y="3705580"/>
              <a:ext cx="2592911" cy="2209953"/>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Rectangle: Rounded Corners 47">
              <a:extLst>
                <a:ext uri="{FF2B5EF4-FFF2-40B4-BE49-F238E27FC236}">
                  <a16:creationId xmlns:a16="http://schemas.microsoft.com/office/drawing/2014/main" id="{1BA39B16-CAF8-4311-9C64-3B89AF6A8D4E}"/>
                </a:ext>
              </a:extLst>
            </xdr:cNvPr>
            <xdr:cNvSpPr/>
          </xdr:nvSpPr>
          <xdr:spPr>
            <a:xfrm>
              <a:off x="2961026" y="2050382"/>
              <a:ext cx="2565496" cy="1609224"/>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9" name="Rectangle: Rounded Corners 48">
              <a:extLst>
                <a:ext uri="{FF2B5EF4-FFF2-40B4-BE49-F238E27FC236}">
                  <a16:creationId xmlns:a16="http://schemas.microsoft.com/office/drawing/2014/main" id="{5792EE38-CD49-424D-88B0-CCBF4E73924B}"/>
                </a:ext>
              </a:extLst>
            </xdr:cNvPr>
            <xdr:cNvSpPr/>
          </xdr:nvSpPr>
          <xdr:spPr>
            <a:xfrm>
              <a:off x="5608353" y="4308315"/>
              <a:ext cx="2814469" cy="1590820"/>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 </a:t>
              </a:r>
            </a:p>
          </xdr:txBody>
        </xdr:sp>
        <xdr:sp macro="" textlink="">
          <xdr:nvSpPr>
            <xdr:cNvPr id="50" name="Rectangle: Rounded Corners 49">
              <a:extLst>
                <a:ext uri="{FF2B5EF4-FFF2-40B4-BE49-F238E27FC236}">
                  <a16:creationId xmlns:a16="http://schemas.microsoft.com/office/drawing/2014/main" id="{DE8A8EFF-C7EC-4857-B7B5-B339AD6E5AC1}"/>
                </a:ext>
              </a:extLst>
            </xdr:cNvPr>
            <xdr:cNvSpPr/>
          </xdr:nvSpPr>
          <xdr:spPr>
            <a:xfrm>
              <a:off x="8477115" y="4737995"/>
              <a:ext cx="2719131" cy="1181968"/>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1" name="Rectangle: Rounded Corners 50">
              <a:extLst>
                <a:ext uri="{FF2B5EF4-FFF2-40B4-BE49-F238E27FC236}">
                  <a16:creationId xmlns:a16="http://schemas.microsoft.com/office/drawing/2014/main" id="{D969EE18-C1AD-4C88-95D9-962BF6104867}"/>
                </a:ext>
              </a:extLst>
            </xdr:cNvPr>
            <xdr:cNvSpPr/>
          </xdr:nvSpPr>
          <xdr:spPr>
            <a:xfrm>
              <a:off x="5581026" y="2030829"/>
              <a:ext cx="2830699" cy="2241885"/>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 </a:t>
              </a:r>
            </a:p>
          </xdr:txBody>
        </xdr:sp>
        <xdr:sp macro="" textlink="">
          <xdr:nvSpPr>
            <xdr:cNvPr id="52" name="Rectangle: Rounded Corners 51">
              <a:extLst>
                <a:ext uri="{FF2B5EF4-FFF2-40B4-BE49-F238E27FC236}">
                  <a16:creationId xmlns:a16="http://schemas.microsoft.com/office/drawing/2014/main" id="{EF83DF28-3492-44CF-BF09-BA087CC18E0C}"/>
                </a:ext>
              </a:extLst>
            </xdr:cNvPr>
            <xdr:cNvSpPr/>
          </xdr:nvSpPr>
          <xdr:spPr>
            <a:xfrm>
              <a:off x="8486151" y="3686676"/>
              <a:ext cx="2698998" cy="1028700"/>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3" name="Rectangle: Rounded Corners 52">
              <a:extLst>
                <a:ext uri="{FF2B5EF4-FFF2-40B4-BE49-F238E27FC236}">
                  <a16:creationId xmlns:a16="http://schemas.microsoft.com/office/drawing/2014/main" id="{7870BD97-9C62-42D8-9121-0D6A1524BEB1}"/>
                </a:ext>
              </a:extLst>
            </xdr:cNvPr>
            <xdr:cNvSpPr/>
          </xdr:nvSpPr>
          <xdr:spPr>
            <a:xfrm>
              <a:off x="219075" y="4306303"/>
              <a:ext cx="2692919" cy="1592831"/>
            </a:xfrm>
            <a:prstGeom prst="roundRect">
              <a:avLst>
                <a:gd name="adj" fmla="val 11683"/>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4" name="Rectangle: Rounded Corners 53">
              <a:extLst>
                <a:ext uri="{FF2B5EF4-FFF2-40B4-BE49-F238E27FC236}">
                  <a16:creationId xmlns:a16="http://schemas.microsoft.com/office/drawing/2014/main" id="{03A32466-475E-46E1-A0BA-681B94AE86B3}"/>
                </a:ext>
              </a:extLst>
            </xdr:cNvPr>
            <xdr:cNvSpPr/>
          </xdr:nvSpPr>
          <xdr:spPr>
            <a:xfrm>
              <a:off x="3152776" y="1578876"/>
              <a:ext cx="1719028" cy="421374"/>
            </a:xfrm>
            <a:prstGeom prst="roundRect">
              <a:avLst>
                <a:gd name="adj" fmla="val 30924"/>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5" name="Rectangle: Rounded Corners 54">
              <a:extLst>
                <a:ext uri="{FF2B5EF4-FFF2-40B4-BE49-F238E27FC236}">
                  <a16:creationId xmlns:a16="http://schemas.microsoft.com/office/drawing/2014/main" id="{0F795FAC-7E36-4719-9047-9E1F37E46992}"/>
                </a:ext>
              </a:extLst>
            </xdr:cNvPr>
            <xdr:cNvSpPr/>
          </xdr:nvSpPr>
          <xdr:spPr>
            <a:xfrm>
              <a:off x="4908592" y="1589648"/>
              <a:ext cx="1587458" cy="410602"/>
            </a:xfrm>
            <a:prstGeom prst="roundRect">
              <a:avLst>
                <a:gd name="adj" fmla="val 30924"/>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6" name="Rectangle: Rounded Corners 55">
              <a:extLst>
                <a:ext uri="{FF2B5EF4-FFF2-40B4-BE49-F238E27FC236}">
                  <a16:creationId xmlns:a16="http://schemas.microsoft.com/office/drawing/2014/main" id="{05CCEA37-BE02-4F69-8FD5-A91364E55273}"/>
                </a:ext>
              </a:extLst>
            </xdr:cNvPr>
            <xdr:cNvSpPr/>
          </xdr:nvSpPr>
          <xdr:spPr>
            <a:xfrm>
              <a:off x="9848490" y="1609725"/>
              <a:ext cx="1295761" cy="619125"/>
            </a:xfrm>
            <a:prstGeom prst="roundRect">
              <a:avLst>
                <a:gd name="adj" fmla="val 30924"/>
              </a:avLst>
            </a:prstGeom>
            <a:solidFill>
              <a:srgbClr val="8C87A9"/>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7" name="Rectangle: Rounded Corners 56">
              <a:extLst>
                <a:ext uri="{FF2B5EF4-FFF2-40B4-BE49-F238E27FC236}">
                  <a16:creationId xmlns:a16="http://schemas.microsoft.com/office/drawing/2014/main" id="{02F950A9-138F-4AB4-99A8-1B730A3ED8F7}"/>
                </a:ext>
              </a:extLst>
            </xdr:cNvPr>
            <xdr:cNvSpPr/>
          </xdr:nvSpPr>
          <xdr:spPr>
            <a:xfrm>
              <a:off x="6524626" y="1590674"/>
              <a:ext cx="1887099" cy="409575"/>
            </a:xfrm>
            <a:prstGeom prst="roundRect">
              <a:avLst>
                <a:gd name="adj" fmla="val 30924"/>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8" name="Rectangle: Rounded Corners 57">
              <a:extLst>
                <a:ext uri="{FF2B5EF4-FFF2-40B4-BE49-F238E27FC236}">
                  <a16:creationId xmlns:a16="http://schemas.microsoft.com/office/drawing/2014/main" id="{E2CE1E75-D1C1-49B7-A79C-4AEC862EB543}"/>
                </a:ext>
              </a:extLst>
            </xdr:cNvPr>
            <xdr:cNvSpPr/>
          </xdr:nvSpPr>
          <xdr:spPr>
            <a:xfrm>
              <a:off x="8467725" y="1590675"/>
              <a:ext cx="1228725" cy="685799"/>
            </a:xfrm>
            <a:prstGeom prst="roundRect">
              <a:avLst>
                <a:gd name="adj" fmla="val 30924"/>
              </a:avLst>
            </a:prstGeom>
            <a:solidFill>
              <a:srgbClr val="8C87A9"/>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graphicFrame macro="">
        <xdr:nvGraphicFramePr>
          <xdr:cNvPr id="5" name="Chart 4">
            <a:extLst>
              <a:ext uri="{FF2B5EF4-FFF2-40B4-BE49-F238E27FC236}">
                <a16:creationId xmlns:a16="http://schemas.microsoft.com/office/drawing/2014/main" id="{9342155E-87EC-4BB3-AE0D-CA56BB412F27}"/>
              </a:ext>
            </a:extLst>
          </xdr:cNvPr>
          <xdr:cNvGraphicFramePr>
            <a:graphicFrameLocks/>
          </xdr:cNvGraphicFramePr>
        </xdr:nvGraphicFramePr>
        <xdr:xfrm>
          <a:off x="205652" y="877096"/>
          <a:ext cx="2860299" cy="281987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Chart 6">
            <a:extLst>
              <a:ext uri="{FF2B5EF4-FFF2-40B4-BE49-F238E27FC236}">
                <a16:creationId xmlns:a16="http://schemas.microsoft.com/office/drawing/2014/main" id="{0E6755DC-909C-4DEE-89F5-553BE188E46D}"/>
              </a:ext>
            </a:extLst>
          </xdr:cNvPr>
          <xdr:cNvGraphicFramePr>
            <a:graphicFrameLocks/>
          </xdr:cNvGraphicFramePr>
        </xdr:nvGraphicFramePr>
        <xdr:xfrm>
          <a:off x="5942278" y="4073154"/>
          <a:ext cx="3007880" cy="160455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36612DFA-5ECA-4C9F-B124-F9C44045CBEF}"/>
              </a:ext>
            </a:extLst>
          </xdr:cNvPr>
          <xdr:cNvGraphicFramePr>
            <a:graphicFrameLocks/>
          </xdr:cNvGraphicFramePr>
        </xdr:nvGraphicFramePr>
        <xdr:xfrm>
          <a:off x="9014239" y="3384504"/>
          <a:ext cx="2865542" cy="81984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2AB42D80-19B2-4EA5-ADFF-6033CCEDEFAE}"/>
              </a:ext>
            </a:extLst>
          </xdr:cNvPr>
          <xdr:cNvGraphicFramePr>
            <a:graphicFrameLocks/>
          </xdr:cNvGraphicFramePr>
        </xdr:nvGraphicFramePr>
        <xdr:xfrm>
          <a:off x="194012" y="4214813"/>
          <a:ext cx="2841278" cy="154095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A2779751-E2B8-44AF-883C-DEC33DB6C692}"/>
              </a:ext>
            </a:extLst>
          </xdr:cNvPr>
          <xdr:cNvGraphicFramePr>
            <a:graphicFrameLocks/>
          </xdr:cNvGraphicFramePr>
        </xdr:nvGraphicFramePr>
        <xdr:xfrm>
          <a:off x="9017304" y="4710101"/>
          <a:ext cx="2866543" cy="1034612"/>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5" name="TextBox 14">
            <a:extLst>
              <a:ext uri="{FF2B5EF4-FFF2-40B4-BE49-F238E27FC236}">
                <a16:creationId xmlns:a16="http://schemas.microsoft.com/office/drawing/2014/main" id="{F3736B4E-6AFB-4412-BF46-1C4DFB460855}"/>
              </a:ext>
            </a:extLst>
          </xdr:cNvPr>
          <xdr:cNvSpPr txBox="1"/>
        </xdr:nvSpPr>
        <xdr:spPr>
          <a:xfrm>
            <a:off x="773897" y="850118"/>
            <a:ext cx="2176971" cy="268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rgbClr val="000000"/>
                </a:solidFill>
                <a:latin typeface="Bahnschrift Condensed" panose="020B0502040204020203" pitchFamily="34" charset="0"/>
              </a:rPr>
              <a:t>  Top 15 Performing Managers</a:t>
            </a:r>
          </a:p>
        </xdr:txBody>
      </xdr:sp>
      <xdr:sp macro="" textlink="">
        <xdr:nvSpPr>
          <xdr:cNvPr id="16" name="TextBox 15">
            <a:extLst>
              <a:ext uri="{FF2B5EF4-FFF2-40B4-BE49-F238E27FC236}">
                <a16:creationId xmlns:a16="http://schemas.microsoft.com/office/drawing/2014/main" id="{EE7A0EC6-D1A2-4DB9-B79E-FC1077AA1ECC}"/>
              </a:ext>
            </a:extLst>
          </xdr:cNvPr>
          <xdr:cNvSpPr txBox="1"/>
        </xdr:nvSpPr>
        <xdr:spPr>
          <a:xfrm>
            <a:off x="6663641" y="760588"/>
            <a:ext cx="2146288" cy="255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chemeClr val="tx1">
                    <a:lumMod val="95000"/>
                    <a:lumOff val="5000"/>
                  </a:schemeClr>
                </a:solidFill>
                <a:latin typeface="Bahnschrift Condensed" panose="020B0502040204020203" pitchFamily="34" charset="0"/>
              </a:rPr>
              <a:t>   Average Salary By Race</a:t>
            </a:r>
          </a:p>
        </xdr:txBody>
      </xdr:sp>
      <xdr:sp macro="" textlink="">
        <xdr:nvSpPr>
          <xdr:cNvPr id="18" name="TextBox 17">
            <a:extLst>
              <a:ext uri="{FF2B5EF4-FFF2-40B4-BE49-F238E27FC236}">
                <a16:creationId xmlns:a16="http://schemas.microsoft.com/office/drawing/2014/main" id="{218A853F-4F7B-4CE5-9022-DD43F9BCE99D}"/>
              </a:ext>
            </a:extLst>
          </xdr:cNvPr>
          <xdr:cNvSpPr txBox="1"/>
        </xdr:nvSpPr>
        <xdr:spPr>
          <a:xfrm>
            <a:off x="3753399" y="2926141"/>
            <a:ext cx="2054304" cy="303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ysClr val="windowText" lastClr="000000"/>
                </a:solidFill>
                <a:latin typeface="Bahnschrift Condensed" panose="020B0502040204020203" pitchFamily="34" charset="0"/>
              </a:rPr>
              <a:t>    Top 10 Salary Earners</a:t>
            </a:r>
          </a:p>
        </xdr:txBody>
      </xdr:sp>
      <xdr:sp macro="" textlink="">
        <xdr:nvSpPr>
          <xdr:cNvPr id="20" name="TextBox 19">
            <a:extLst>
              <a:ext uri="{FF2B5EF4-FFF2-40B4-BE49-F238E27FC236}">
                <a16:creationId xmlns:a16="http://schemas.microsoft.com/office/drawing/2014/main" id="{00BB934F-8D9F-4894-94F7-B631CE04AD93}"/>
              </a:ext>
            </a:extLst>
          </xdr:cNvPr>
          <xdr:cNvSpPr txBox="1"/>
        </xdr:nvSpPr>
        <xdr:spPr>
          <a:xfrm>
            <a:off x="517716" y="3736000"/>
            <a:ext cx="2500007" cy="26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400" b="1">
                <a:solidFill>
                  <a:sysClr val="windowText" lastClr="000000"/>
                </a:solidFill>
                <a:latin typeface="Bahnschrift Condensed" panose="020B0502040204020203" pitchFamily="34" charset="0"/>
              </a:rPr>
              <a:t>Monthly Average Performance Rating </a:t>
            </a:r>
          </a:p>
        </xdr:txBody>
      </xdr:sp>
      <xdr:sp macro="" textlink="">
        <xdr:nvSpPr>
          <xdr:cNvPr id="22" name="TextBox 21">
            <a:extLst>
              <a:ext uri="{FF2B5EF4-FFF2-40B4-BE49-F238E27FC236}">
                <a16:creationId xmlns:a16="http://schemas.microsoft.com/office/drawing/2014/main" id="{21ED26D8-836E-481F-8A4F-66635F270D66}"/>
              </a:ext>
            </a:extLst>
          </xdr:cNvPr>
          <xdr:cNvSpPr txBox="1"/>
        </xdr:nvSpPr>
        <xdr:spPr>
          <a:xfrm>
            <a:off x="6500013" y="3726243"/>
            <a:ext cx="2267149" cy="28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ysClr val="windowText" lastClr="000000"/>
                </a:solidFill>
                <a:latin typeface="Bahnschrift Condensed" panose="020B0502040204020203" pitchFamily="34" charset="0"/>
              </a:rPr>
              <a:t>   Average Salary by Department</a:t>
            </a:r>
          </a:p>
        </xdr:txBody>
      </xdr:sp>
      <xdr:sp macro="" textlink="">
        <xdr:nvSpPr>
          <xdr:cNvPr id="24" name="TextBox 23">
            <a:extLst>
              <a:ext uri="{FF2B5EF4-FFF2-40B4-BE49-F238E27FC236}">
                <a16:creationId xmlns:a16="http://schemas.microsoft.com/office/drawing/2014/main" id="{0CE472DC-A2DA-4F48-BD32-4D4313BB627E}"/>
              </a:ext>
            </a:extLst>
          </xdr:cNvPr>
          <xdr:cNvSpPr txBox="1"/>
        </xdr:nvSpPr>
        <xdr:spPr>
          <a:xfrm>
            <a:off x="9464354" y="4301926"/>
            <a:ext cx="2387641" cy="232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ysClr val="windowText" lastClr="000000"/>
                </a:solidFill>
                <a:latin typeface="Bahnschrift Condensed" panose="020B0502040204020203" pitchFamily="34" charset="0"/>
              </a:rPr>
              <a:t>Performance By recruitment Source</a:t>
            </a:r>
          </a:p>
        </xdr:txBody>
      </xdr:sp>
      <xdr:pic>
        <xdr:nvPicPr>
          <xdr:cNvPr id="25" name="Graphic 1" descr="Target Audience with solid fill">
            <a:extLst>
              <a:ext uri="{FF2B5EF4-FFF2-40B4-BE49-F238E27FC236}">
                <a16:creationId xmlns:a16="http://schemas.microsoft.com/office/drawing/2014/main" id="{630A8039-2E61-4D5E-B9BE-09968C5AA85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094071" y="4272654"/>
            <a:ext cx="427585" cy="302478"/>
          </a:xfrm>
          <a:prstGeom prst="rect">
            <a:avLst/>
          </a:prstGeom>
        </xdr:spPr>
      </xdr:pic>
      <xdr:sp macro="" textlink="">
        <xdr:nvSpPr>
          <xdr:cNvPr id="26" name="TextBox 25">
            <a:extLst>
              <a:ext uri="{FF2B5EF4-FFF2-40B4-BE49-F238E27FC236}">
                <a16:creationId xmlns:a16="http://schemas.microsoft.com/office/drawing/2014/main" id="{5AC751E1-7B0C-4FAC-959D-C265CCE9EFE3}"/>
              </a:ext>
            </a:extLst>
          </xdr:cNvPr>
          <xdr:cNvSpPr txBox="1"/>
        </xdr:nvSpPr>
        <xdr:spPr>
          <a:xfrm>
            <a:off x="9624883" y="1305221"/>
            <a:ext cx="2156509" cy="243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ysClr val="windowText" lastClr="000000"/>
                </a:solidFill>
                <a:latin typeface="Bahnschrift Condensed" panose="020B0502040204020203" pitchFamily="34" charset="0"/>
              </a:rPr>
              <a:t>   Race Ratio By Department</a:t>
            </a:r>
          </a:p>
        </xdr:txBody>
      </xdr:sp>
      <xdr:sp macro="" textlink="">
        <xdr:nvSpPr>
          <xdr:cNvPr id="27" name="TextBox 26">
            <a:extLst>
              <a:ext uri="{FF2B5EF4-FFF2-40B4-BE49-F238E27FC236}">
                <a16:creationId xmlns:a16="http://schemas.microsoft.com/office/drawing/2014/main" id="{E2C51138-8398-4DE4-AFEB-F091390282AC}"/>
              </a:ext>
            </a:extLst>
          </xdr:cNvPr>
          <xdr:cNvSpPr txBox="1"/>
        </xdr:nvSpPr>
        <xdr:spPr>
          <a:xfrm>
            <a:off x="3729232" y="760009"/>
            <a:ext cx="2067703" cy="292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chemeClr val="tx1">
                    <a:lumMod val="95000"/>
                    <a:lumOff val="5000"/>
                  </a:schemeClr>
                </a:solidFill>
                <a:latin typeface="Bahnschrift Condensed" panose="020B0502040204020203" pitchFamily="34" charset="0"/>
              </a:rPr>
              <a:t>Gender Ratio By Department</a:t>
            </a:r>
          </a:p>
        </xdr:txBody>
      </xdr:sp>
      <xdr:sp macro="" textlink="">
        <xdr:nvSpPr>
          <xdr:cNvPr id="28" name="TextBox 27">
            <a:extLst>
              <a:ext uri="{FF2B5EF4-FFF2-40B4-BE49-F238E27FC236}">
                <a16:creationId xmlns:a16="http://schemas.microsoft.com/office/drawing/2014/main" id="{D249AB36-980E-4BAB-8BAF-B0F8D630FEA4}"/>
              </a:ext>
            </a:extLst>
          </xdr:cNvPr>
          <xdr:cNvSpPr txBox="1"/>
        </xdr:nvSpPr>
        <xdr:spPr>
          <a:xfrm>
            <a:off x="9817010" y="2906625"/>
            <a:ext cx="2024571" cy="258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500" b="1">
                <a:solidFill>
                  <a:sysClr val="windowText" lastClr="000000"/>
                </a:solidFill>
                <a:latin typeface="Bahnschrift Condensed" panose="020B0502040204020203" pitchFamily="34" charset="0"/>
              </a:rPr>
              <a:t>Annual Average Salary </a:t>
            </a:r>
          </a:p>
        </xdr:txBody>
      </xdr:sp>
      <xdr:pic>
        <xdr:nvPicPr>
          <xdr:cNvPr id="29" name="Graphic 28" descr="Questions with solid fill">
            <a:extLst>
              <a:ext uri="{FF2B5EF4-FFF2-40B4-BE49-F238E27FC236}">
                <a16:creationId xmlns:a16="http://schemas.microsoft.com/office/drawing/2014/main" id="{4E2DB375-3763-4FA3-8890-D25F01A2B47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037631" y="1312926"/>
            <a:ext cx="464924" cy="354517"/>
          </a:xfrm>
          <a:prstGeom prst="rect">
            <a:avLst/>
          </a:prstGeom>
        </xdr:spPr>
      </xdr:pic>
      <xdr:sp macro="" textlink="">
        <xdr:nvSpPr>
          <xdr:cNvPr id="32" name="TextBox 31">
            <a:extLst>
              <a:ext uri="{FF2B5EF4-FFF2-40B4-BE49-F238E27FC236}">
                <a16:creationId xmlns:a16="http://schemas.microsoft.com/office/drawing/2014/main" id="{0215170F-40F2-48D3-B568-3718B308CEC3}"/>
              </a:ext>
            </a:extLst>
          </xdr:cNvPr>
          <xdr:cNvSpPr txBox="1"/>
        </xdr:nvSpPr>
        <xdr:spPr>
          <a:xfrm>
            <a:off x="3753115" y="164810"/>
            <a:ext cx="1461237" cy="224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a:solidFill>
                  <a:sysClr val="windowText" lastClr="000000"/>
                </a:solidFill>
                <a:latin typeface="Bahnschrift Condensed" panose="020B0502040204020203" pitchFamily="34" charset="0"/>
              </a:rPr>
              <a:t>Total</a:t>
            </a:r>
            <a:r>
              <a:rPr lang="en-US" sz="1300" b="1" baseline="0">
                <a:solidFill>
                  <a:sysClr val="windowText" lastClr="000000"/>
                </a:solidFill>
                <a:latin typeface="Bahnschrift Condensed" panose="020B0502040204020203" pitchFamily="34" charset="0"/>
              </a:rPr>
              <a:t> No. of Employees</a:t>
            </a:r>
            <a:endParaRPr lang="en-US" sz="1300" b="1">
              <a:solidFill>
                <a:sysClr val="windowText" lastClr="000000"/>
              </a:solidFill>
              <a:latin typeface="Bahnschrift Condensed" panose="020B0502040204020203" pitchFamily="34" charset="0"/>
            </a:endParaRPr>
          </a:p>
        </xdr:txBody>
      </xdr:sp>
      <xdr:sp macro="" textlink="">
        <xdr:nvSpPr>
          <xdr:cNvPr id="33" name="TextBox 32">
            <a:extLst>
              <a:ext uri="{FF2B5EF4-FFF2-40B4-BE49-F238E27FC236}">
                <a16:creationId xmlns:a16="http://schemas.microsoft.com/office/drawing/2014/main" id="{3FE43D7A-C4E6-4657-ACB8-F15F3FABD3C5}"/>
              </a:ext>
            </a:extLst>
          </xdr:cNvPr>
          <xdr:cNvSpPr txBox="1"/>
        </xdr:nvSpPr>
        <xdr:spPr>
          <a:xfrm>
            <a:off x="5572979" y="163667"/>
            <a:ext cx="1176289" cy="19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300" b="1" baseline="0">
                <a:solidFill>
                  <a:sysClr val="windowText" lastClr="000000"/>
                </a:solidFill>
                <a:latin typeface="Bahnschrift Condensed" panose="020B0502040204020203" pitchFamily="34" charset="0"/>
              </a:rPr>
              <a:t>    </a:t>
            </a:r>
            <a:r>
              <a:rPr lang="en-US" sz="1300" b="1">
                <a:solidFill>
                  <a:sysClr val="windowText" lastClr="000000"/>
                </a:solidFill>
                <a:latin typeface="Bahnschrift Condensed" panose="020B0502040204020203" pitchFamily="34" charset="0"/>
              </a:rPr>
              <a:t>Average Salary</a:t>
            </a:r>
          </a:p>
        </xdr:txBody>
      </xdr:sp>
      <xdr:sp macro="" textlink="">
        <xdr:nvSpPr>
          <xdr:cNvPr id="34" name="TextBox 33">
            <a:extLst>
              <a:ext uri="{FF2B5EF4-FFF2-40B4-BE49-F238E27FC236}">
                <a16:creationId xmlns:a16="http://schemas.microsoft.com/office/drawing/2014/main" id="{93C0A79C-437B-4445-91D9-0D3CBE0878DC}"/>
              </a:ext>
            </a:extLst>
          </xdr:cNvPr>
          <xdr:cNvSpPr txBox="1"/>
        </xdr:nvSpPr>
        <xdr:spPr>
          <a:xfrm>
            <a:off x="4534501" y="461539"/>
            <a:ext cx="534756" cy="26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00000"/>
                </a:solidFill>
                <a:latin typeface="Arial Black" panose="020B0A04020102020204" pitchFamily="34" charset="0"/>
              </a:rPr>
              <a:t>207</a:t>
            </a:r>
          </a:p>
        </xdr:txBody>
      </xdr:sp>
      <xdr:sp macro="" textlink="">
        <xdr:nvSpPr>
          <xdr:cNvPr id="35" name="TextBox 34">
            <a:extLst>
              <a:ext uri="{FF2B5EF4-FFF2-40B4-BE49-F238E27FC236}">
                <a16:creationId xmlns:a16="http://schemas.microsoft.com/office/drawing/2014/main" id="{1F1D2D4E-0828-4C12-A09F-1617367E677D}"/>
              </a:ext>
            </a:extLst>
          </xdr:cNvPr>
          <xdr:cNvSpPr txBox="1"/>
        </xdr:nvSpPr>
        <xdr:spPr>
          <a:xfrm>
            <a:off x="5678171" y="458672"/>
            <a:ext cx="1188480" cy="234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800000"/>
                </a:solidFill>
                <a:effectLst/>
                <a:latin typeface="Arial Black" panose="020B0A04020102020204" pitchFamily="34" charset="0"/>
                <a:ea typeface="+mn-ea"/>
                <a:cs typeface="+mn-cs"/>
              </a:rPr>
              <a:t>$ 69,020.68</a:t>
            </a:r>
            <a:r>
              <a:rPr lang="en-US" sz="1200" b="1">
                <a:solidFill>
                  <a:srgbClr val="800000"/>
                </a:solidFill>
                <a:latin typeface="Arial Black" panose="020B0A04020102020204" pitchFamily="34" charset="0"/>
              </a:rPr>
              <a:t> </a:t>
            </a:r>
          </a:p>
        </xdr:txBody>
      </xdr:sp>
      <xdr:sp macro="" textlink="">
        <xdr:nvSpPr>
          <xdr:cNvPr id="36" name="TextBox 35">
            <a:extLst>
              <a:ext uri="{FF2B5EF4-FFF2-40B4-BE49-F238E27FC236}">
                <a16:creationId xmlns:a16="http://schemas.microsoft.com/office/drawing/2014/main" id="{61B72284-1A01-4528-A444-96B3074EE009}"/>
              </a:ext>
            </a:extLst>
          </xdr:cNvPr>
          <xdr:cNvSpPr txBox="1"/>
        </xdr:nvSpPr>
        <xdr:spPr>
          <a:xfrm>
            <a:off x="7265107" y="161374"/>
            <a:ext cx="1758411" cy="253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250" b="1">
                <a:solidFill>
                  <a:sysClr val="windowText" lastClr="000000"/>
                </a:solidFill>
                <a:latin typeface="Bahnschrift Condensed" panose="020B0502040204020203" pitchFamily="34" charset="0"/>
              </a:rPr>
              <a:t>Average</a:t>
            </a:r>
            <a:r>
              <a:rPr lang="en-US" sz="1250" b="1" baseline="0">
                <a:solidFill>
                  <a:sysClr val="windowText" lastClr="000000"/>
                </a:solidFill>
                <a:latin typeface="Bahnschrift Condensed" panose="020B0502040204020203" pitchFamily="34" charset="0"/>
              </a:rPr>
              <a:t> Performance</a:t>
            </a:r>
            <a:r>
              <a:rPr lang="en-US" sz="1250" b="1">
                <a:solidFill>
                  <a:sysClr val="windowText" lastClr="000000"/>
                </a:solidFill>
                <a:latin typeface="Bahnschrift Condensed" panose="020B0502040204020203" pitchFamily="34" charset="0"/>
              </a:rPr>
              <a:t> Rating</a:t>
            </a:r>
          </a:p>
        </xdr:txBody>
      </xdr:sp>
      <xdr:sp macro="" textlink="">
        <xdr:nvSpPr>
          <xdr:cNvPr id="40" name="TextBox 39">
            <a:extLst>
              <a:ext uri="{FF2B5EF4-FFF2-40B4-BE49-F238E27FC236}">
                <a16:creationId xmlns:a16="http://schemas.microsoft.com/office/drawing/2014/main" id="{0813D577-2DDE-49A4-A42A-54DA49ABA260}"/>
              </a:ext>
            </a:extLst>
          </xdr:cNvPr>
          <xdr:cNvSpPr txBox="1"/>
        </xdr:nvSpPr>
        <xdr:spPr>
          <a:xfrm>
            <a:off x="8212786" y="480101"/>
            <a:ext cx="762564" cy="2431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800000"/>
                </a:solidFill>
                <a:latin typeface="Arial Black" panose="020B0A04020102020204" pitchFamily="34" charset="0"/>
              </a:rPr>
              <a:t>4</a:t>
            </a:r>
          </a:p>
        </xdr:txBody>
      </xdr:sp>
      <mc:AlternateContent xmlns:mc="http://schemas.openxmlformats.org/markup-compatibility/2006">
        <mc:Choice xmlns:a14="http://schemas.microsoft.com/office/drawing/2010/main" Requires="a14">
          <xdr:graphicFrame macro="">
            <xdr:nvGraphicFramePr>
              <xdr:cNvPr id="42" name="Department 1">
                <a:extLst>
                  <a:ext uri="{FF2B5EF4-FFF2-40B4-BE49-F238E27FC236}">
                    <a16:creationId xmlns:a16="http://schemas.microsoft.com/office/drawing/2014/main" id="{5202AB5C-CA37-4E2D-8A5A-CD7D61AB0DC7}"/>
                  </a:ext>
                </a:extLst>
              </xdr:cNvPr>
              <xdr:cNvGraphicFramePr>
                <a:graphicFrameLocks/>
              </xdr:cNvGraphicFramePr>
            </xdr:nvGraphicFramePr>
            <xdr:xfrm>
              <a:off x="8997302" y="168442"/>
              <a:ext cx="1375282" cy="1073307"/>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983767" y="167848"/>
                <a:ext cx="1373185" cy="106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59" name="Chart 58">
            <a:extLst>
              <a:ext uri="{FF2B5EF4-FFF2-40B4-BE49-F238E27FC236}">
                <a16:creationId xmlns:a16="http://schemas.microsoft.com/office/drawing/2014/main" id="{57811DE8-9764-4A25-AD83-324ECD0329F9}"/>
              </a:ext>
            </a:extLst>
          </xdr:cNvPr>
          <xdr:cNvGraphicFramePr>
            <a:graphicFrameLocks/>
          </xdr:cNvGraphicFramePr>
        </xdr:nvGraphicFramePr>
        <xdr:xfrm>
          <a:off x="9032735" y="1810871"/>
          <a:ext cx="2836276" cy="100825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0" name="Chart 59">
            <a:extLst>
              <a:ext uri="{FF2B5EF4-FFF2-40B4-BE49-F238E27FC236}">
                <a16:creationId xmlns:a16="http://schemas.microsoft.com/office/drawing/2014/main" id="{CB6BD77F-14E7-484A-906A-3ED6BB8B82D4}"/>
              </a:ext>
            </a:extLst>
          </xdr:cNvPr>
          <xdr:cNvGraphicFramePr>
            <a:graphicFrameLocks/>
          </xdr:cNvGraphicFramePr>
        </xdr:nvGraphicFramePr>
        <xdr:xfrm>
          <a:off x="5948791" y="1328637"/>
          <a:ext cx="2922007" cy="2338402"/>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3</xdr:col>
      <xdr:colOff>359833</xdr:colOff>
      <xdr:row>5</xdr:row>
      <xdr:rowOff>95250</xdr:rowOff>
    </xdr:from>
    <xdr:to>
      <xdr:col>6</xdr:col>
      <xdr:colOff>276225</xdr:colOff>
      <xdr:row>11</xdr:row>
      <xdr:rowOff>31750</xdr:rowOff>
    </xdr:to>
    <xdr:graphicFrame macro="">
      <xdr:nvGraphicFramePr>
        <xdr:cNvPr id="61" name="Chart 60">
          <a:extLst>
            <a:ext uri="{FF2B5EF4-FFF2-40B4-BE49-F238E27FC236}">
              <a16:creationId xmlns:a16="http://schemas.microsoft.com/office/drawing/2014/main" id="{F9CB9902-D2CE-4A94-9638-4222D6E42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231321</xdr:colOff>
      <xdr:row>0</xdr:row>
      <xdr:rowOff>231323</xdr:rowOff>
    </xdr:from>
    <xdr:to>
      <xdr:col>0</xdr:col>
      <xdr:colOff>816428</xdr:colOff>
      <xdr:row>2</xdr:row>
      <xdr:rowOff>190500</xdr:rowOff>
    </xdr:to>
    <xdr:pic>
      <xdr:nvPicPr>
        <xdr:cNvPr id="70" name="Picture 69">
          <a:extLst>
            <a:ext uri="{FF2B5EF4-FFF2-40B4-BE49-F238E27FC236}">
              <a16:creationId xmlns:a16="http://schemas.microsoft.com/office/drawing/2014/main" id="{5F12B3AA-F888-4398-B5FC-EEEAA1CC035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231321" y="231323"/>
          <a:ext cx="585107" cy="449034"/>
        </a:xfrm>
        <a:prstGeom prst="rect">
          <a:avLst/>
        </a:prstGeom>
      </xdr:spPr>
    </xdr:pic>
    <xdr:clientData/>
  </xdr:twoCellAnchor>
  <xdr:twoCellAnchor editAs="oneCell">
    <xdr:from>
      <xdr:col>3</xdr:col>
      <xdr:colOff>605518</xdr:colOff>
      <xdr:row>0</xdr:row>
      <xdr:rowOff>244928</xdr:rowOff>
    </xdr:from>
    <xdr:to>
      <xdr:col>4</xdr:col>
      <xdr:colOff>115661</xdr:colOff>
      <xdr:row>2</xdr:row>
      <xdr:rowOff>88446</xdr:rowOff>
    </xdr:to>
    <xdr:pic>
      <xdr:nvPicPr>
        <xdr:cNvPr id="72" name="Picture 71">
          <a:extLst>
            <a:ext uri="{FF2B5EF4-FFF2-40B4-BE49-F238E27FC236}">
              <a16:creationId xmlns:a16="http://schemas.microsoft.com/office/drawing/2014/main" id="{B6262D47-8045-4146-AEF5-E92629FFF93D}"/>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837473B0-CC2E-450A-ABE3-18F120FF3D39}">
              <a1611:picAttrSrcUrl xmlns:a1611="http://schemas.microsoft.com/office/drawing/2016/11/main" r:id="rId16"/>
            </a:ext>
          </a:extLst>
        </a:blip>
        <a:stretch>
          <a:fillRect/>
        </a:stretch>
      </xdr:blipFill>
      <xdr:spPr>
        <a:xfrm>
          <a:off x="3340554" y="244928"/>
          <a:ext cx="421821" cy="333375"/>
        </a:xfrm>
        <a:prstGeom prst="rect">
          <a:avLst/>
        </a:prstGeom>
      </xdr:spPr>
    </xdr:pic>
    <xdr:clientData/>
  </xdr:twoCellAnchor>
  <xdr:twoCellAnchor editAs="oneCell">
    <xdr:from>
      <xdr:col>3</xdr:col>
      <xdr:colOff>503464</xdr:colOff>
      <xdr:row>11</xdr:row>
      <xdr:rowOff>183697</xdr:rowOff>
    </xdr:from>
    <xdr:to>
      <xdr:col>4</xdr:col>
      <xdr:colOff>34018</xdr:colOff>
      <xdr:row>12</xdr:row>
      <xdr:rowOff>217717</xdr:rowOff>
    </xdr:to>
    <xdr:pic>
      <xdr:nvPicPr>
        <xdr:cNvPr id="74" name="Picture 73">
          <a:extLst>
            <a:ext uri="{FF2B5EF4-FFF2-40B4-BE49-F238E27FC236}">
              <a16:creationId xmlns:a16="http://schemas.microsoft.com/office/drawing/2014/main" id="{99C11C5C-CEB0-4C6B-A820-32CEDA5B5F8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837473B0-CC2E-450A-ABE3-18F120FF3D39}">
              <a1611:picAttrSrcUrl xmlns:a1611="http://schemas.microsoft.com/office/drawing/2016/11/main" r:id="rId18"/>
            </a:ext>
          </a:extLst>
        </a:blip>
        <a:stretch>
          <a:fillRect/>
        </a:stretch>
      </xdr:blipFill>
      <xdr:spPr>
        <a:xfrm>
          <a:off x="3238500" y="2877911"/>
          <a:ext cx="442232" cy="278949"/>
        </a:xfrm>
        <a:prstGeom prst="rect">
          <a:avLst/>
        </a:prstGeom>
      </xdr:spPr>
    </xdr:pic>
    <xdr:clientData/>
  </xdr:twoCellAnchor>
  <xdr:twoCellAnchor editAs="oneCell">
    <xdr:from>
      <xdr:col>3</xdr:col>
      <xdr:colOff>491844</xdr:colOff>
      <xdr:row>3</xdr:row>
      <xdr:rowOff>34019</xdr:rowOff>
    </xdr:from>
    <xdr:to>
      <xdr:col>4</xdr:col>
      <xdr:colOff>2</xdr:colOff>
      <xdr:row>4</xdr:row>
      <xdr:rowOff>6804</xdr:rowOff>
    </xdr:to>
    <xdr:pic>
      <xdr:nvPicPr>
        <xdr:cNvPr id="78" name="Graphic 77">
          <a:extLst>
            <a:ext uri="{FF2B5EF4-FFF2-40B4-BE49-F238E27FC236}">
              <a16:creationId xmlns:a16="http://schemas.microsoft.com/office/drawing/2014/main" id="{D22E54F9-7F26-4E03-9DBE-A33175F2464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 uri="{837473B0-CC2E-450A-ABE3-18F120FF3D39}">
              <a1611:picAttrSrcUrl xmlns:a1611="http://schemas.microsoft.com/office/drawing/2016/11/main" r:id="rId21"/>
            </a:ext>
          </a:extLst>
        </a:blip>
        <a:stretch>
          <a:fillRect/>
        </a:stretch>
      </xdr:blipFill>
      <xdr:spPr>
        <a:xfrm>
          <a:off x="3226880" y="768805"/>
          <a:ext cx="419836" cy="265338"/>
        </a:xfrm>
        <a:prstGeom prst="rect">
          <a:avLst/>
        </a:prstGeom>
      </xdr:spPr>
    </xdr:pic>
    <xdr:clientData/>
  </xdr:twoCellAnchor>
  <xdr:twoCellAnchor editAs="oneCell">
    <xdr:from>
      <xdr:col>6</xdr:col>
      <xdr:colOff>545306</xdr:colOff>
      <xdr:row>14</xdr:row>
      <xdr:rowOff>224517</xdr:rowOff>
    </xdr:from>
    <xdr:to>
      <xdr:col>7</xdr:col>
      <xdr:colOff>116680</xdr:colOff>
      <xdr:row>15</xdr:row>
      <xdr:rowOff>217712</xdr:rowOff>
    </xdr:to>
    <xdr:pic>
      <xdr:nvPicPr>
        <xdr:cNvPr id="80" name="Picture 79">
          <a:extLst>
            <a:ext uri="{FF2B5EF4-FFF2-40B4-BE49-F238E27FC236}">
              <a16:creationId xmlns:a16="http://schemas.microsoft.com/office/drawing/2014/main" id="{FD3D80E9-78C6-446B-9082-C8BC396650A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6031706" y="3691617"/>
          <a:ext cx="485774" cy="240846"/>
        </a:xfrm>
        <a:prstGeom prst="rect">
          <a:avLst/>
        </a:prstGeom>
      </xdr:spPr>
    </xdr:pic>
    <xdr:clientData/>
  </xdr:twoCellAnchor>
  <xdr:twoCellAnchor editAs="oneCell">
    <xdr:from>
      <xdr:col>5</xdr:col>
      <xdr:colOff>655865</xdr:colOff>
      <xdr:row>0</xdr:row>
      <xdr:rowOff>240843</xdr:rowOff>
    </xdr:from>
    <xdr:to>
      <xdr:col>6</xdr:col>
      <xdr:colOff>102055</xdr:colOff>
      <xdr:row>1</xdr:row>
      <xdr:rowOff>244927</xdr:rowOff>
    </xdr:to>
    <xdr:pic>
      <xdr:nvPicPr>
        <xdr:cNvPr id="81" name="Picture 80">
          <a:extLst>
            <a:ext uri="{FF2B5EF4-FFF2-40B4-BE49-F238E27FC236}">
              <a16:creationId xmlns:a16="http://schemas.microsoft.com/office/drawing/2014/main" id="{E9BAFC06-5FD2-451A-9024-12CEA40B919E}"/>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5214258" y="240843"/>
          <a:ext cx="357868" cy="249013"/>
        </a:xfrm>
        <a:prstGeom prst="rect">
          <a:avLst/>
        </a:prstGeom>
      </xdr:spPr>
    </xdr:pic>
    <xdr:clientData/>
  </xdr:twoCellAnchor>
  <xdr:twoCellAnchor editAs="oneCell">
    <xdr:from>
      <xdr:col>7</xdr:col>
      <xdr:colOff>523875</xdr:colOff>
      <xdr:row>0</xdr:row>
      <xdr:rowOff>226219</xdr:rowOff>
    </xdr:from>
    <xdr:to>
      <xdr:col>7</xdr:col>
      <xdr:colOff>875109</xdr:colOff>
      <xdr:row>2</xdr:row>
      <xdr:rowOff>107156</xdr:rowOff>
    </xdr:to>
    <xdr:pic>
      <xdr:nvPicPr>
        <xdr:cNvPr id="83" name="Picture 82">
          <a:extLst>
            <a:ext uri="{FF2B5EF4-FFF2-40B4-BE49-F238E27FC236}">
              <a16:creationId xmlns:a16="http://schemas.microsoft.com/office/drawing/2014/main" id="{EB4177CE-2E15-41AB-9378-54E96D4A5149}"/>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 uri="{837473B0-CC2E-450A-ABE3-18F120FF3D39}">
              <a1611:picAttrSrcUrl xmlns:a1611="http://schemas.microsoft.com/office/drawing/2016/11/main" r:id="rId26"/>
            </a:ext>
          </a:extLst>
        </a:blip>
        <a:stretch>
          <a:fillRect/>
        </a:stretch>
      </xdr:blipFill>
      <xdr:spPr>
        <a:xfrm>
          <a:off x="6941344" y="226219"/>
          <a:ext cx="351234" cy="381000"/>
        </a:xfrm>
        <a:prstGeom prst="rect">
          <a:avLst/>
        </a:prstGeom>
      </xdr:spPr>
    </xdr:pic>
    <xdr:clientData/>
  </xdr:twoCellAnchor>
  <xdr:twoCellAnchor editAs="oneCell">
    <xdr:from>
      <xdr:col>6</xdr:col>
      <xdr:colOff>577454</xdr:colOff>
      <xdr:row>3</xdr:row>
      <xdr:rowOff>74838</xdr:rowOff>
    </xdr:from>
    <xdr:to>
      <xdr:col>7</xdr:col>
      <xdr:colOff>160735</xdr:colOff>
      <xdr:row>4</xdr:row>
      <xdr:rowOff>27214</xdr:rowOff>
    </xdr:to>
    <xdr:pic>
      <xdr:nvPicPr>
        <xdr:cNvPr id="86" name="Picture 85">
          <a:extLst>
            <a:ext uri="{FF2B5EF4-FFF2-40B4-BE49-F238E27FC236}">
              <a16:creationId xmlns:a16="http://schemas.microsoft.com/office/drawing/2014/main" id="{5BCBB6C3-2CC5-40C9-879B-835E7BA4E8F4}"/>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837473B0-CC2E-450A-ABE3-18F120FF3D39}">
              <a1611:picAttrSrcUrl xmlns:a1611="http://schemas.microsoft.com/office/drawing/2016/11/main" r:id="rId28"/>
            </a:ext>
          </a:extLst>
        </a:blip>
        <a:stretch>
          <a:fillRect/>
        </a:stretch>
      </xdr:blipFill>
      <xdr:spPr>
        <a:xfrm>
          <a:off x="6047525" y="809624"/>
          <a:ext cx="494960" cy="244929"/>
        </a:xfrm>
        <a:prstGeom prst="rect">
          <a:avLst/>
        </a:prstGeom>
      </xdr:spPr>
    </xdr:pic>
    <xdr:clientData/>
  </xdr:twoCellAnchor>
  <xdr:oneCellAnchor>
    <xdr:from>
      <xdr:col>6</xdr:col>
      <xdr:colOff>845345</xdr:colOff>
      <xdr:row>8</xdr:row>
      <xdr:rowOff>65431</xdr:rowOff>
    </xdr:from>
    <xdr:ext cx="500062" cy="45719"/>
    <xdr:sp macro="" textlink="">
      <xdr:nvSpPr>
        <xdr:cNvPr id="87" name="TextBox 86">
          <a:extLst>
            <a:ext uri="{FF2B5EF4-FFF2-40B4-BE49-F238E27FC236}">
              <a16:creationId xmlns:a16="http://schemas.microsoft.com/office/drawing/2014/main" id="{F4D2184C-1E61-413E-8FEB-31AD9D3F2A25}"/>
            </a:ext>
          </a:extLst>
        </xdr:cNvPr>
        <xdr:cNvSpPr txBox="1"/>
      </xdr:nvSpPr>
      <xdr:spPr>
        <a:xfrm>
          <a:off x="6346033" y="2065681"/>
          <a:ext cx="500062"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hlinkClick xmlns:r="http://schemas.openxmlformats.org/officeDocument/2006/relationships" r:id="rId28" tooltip="https://www.frontiersin.org/articles/10.3389/fpsyg.2020.00208/full?report=reader"/>
            </a:rPr>
            <a:t>This Photo</a:t>
          </a:r>
          <a:r>
            <a:rPr lang="en-US" sz="900"/>
            <a:t> by Unknown Author is licensed under </a:t>
          </a:r>
          <a:r>
            <a:rPr lang="en-US" sz="900">
              <a:hlinkClick xmlns:r="http://schemas.openxmlformats.org/officeDocument/2006/relationships" r:id="rId29" tooltip="https://creativecommons.org/licenses/by/3.0/"/>
            </a:rPr>
            <a:t>CC BY</a:t>
          </a:r>
          <a:endParaRPr lang="en-US" sz="900"/>
        </a:p>
      </xdr:txBody>
    </xdr:sp>
    <xdr:clientData/>
  </xdr:oneCellAnchor>
  <xdr:twoCellAnchor editAs="oneCell">
    <xdr:from>
      <xdr:col>0</xdr:col>
      <xdr:colOff>315516</xdr:colOff>
      <xdr:row>3</xdr:row>
      <xdr:rowOff>148828</xdr:rowOff>
    </xdr:from>
    <xdr:to>
      <xdr:col>0</xdr:col>
      <xdr:colOff>720328</xdr:colOff>
      <xdr:row>4</xdr:row>
      <xdr:rowOff>65484</xdr:rowOff>
    </xdr:to>
    <xdr:pic>
      <xdr:nvPicPr>
        <xdr:cNvPr id="89" name="Picture 88">
          <a:extLst>
            <a:ext uri="{FF2B5EF4-FFF2-40B4-BE49-F238E27FC236}">
              <a16:creationId xmlns:a16="http://schemas.microsoft.com/office/drawing/2014/main" id="{DAE47EF7-310D-43EB-B35D-2A33A755DEA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 uri="{837473B0-CC2E-450A-ABE3-18F120FF3D39}">
              <a1611:picAttrSrcUrl xmlns:a1611="http://schemas.microsoft.com/office/drawing/2016/11/main" r:id="rId31"/>
            </a:ext>
          </a:extLst>
        </a:blip>
        <a:stretch>
          <a:fillRect/>
        </a:stretch>
      </xdr:blipFill>
      <xdr:spPr>
        <a:xfrm>
          <a:off x="315516" y="898922"/>
          <a:ext cx="404812" cy="214312"/>
        </a:xfrm>
        <a:prstGeom prst="rect">
          <a:avLst/>
        </a:prstGeom>
      </xdr:spPr>
    </xdr:pic>
    <xdr:clientData/>
  </xdr:twoCellAnchor>
  <xdr:twoCellAnchor editAs="oneCell">
    <xdr:from>
      <xdr:col>0</xdr:col>
      <xdr:colOff>223839</xdr:colOff>
      <xdr:row>14</xdr:row>
      <xdr:rowOff>231583</xdr:rowOff>
    </xdr:from>
    <xdr:to>
      <xdr:col>0</xdr:col>
      <xdr:colOff>533400</xdr:colOff>
      <xdr:row>15</xdr:row>
      <xdr:rowOff>196453</xdr:rowOff>
    </xdr:to>
    <xdr:pic>
      <xdr:nvPicPr>
        <xdr:cNvPr id="92" name="Graphic 91">
          <a:extLst>
            <a:ext uri="{FF2B5EF4-FFF2-40B4-BE49-F238E27FC236}">
              <a16:creationId xmlns:a16="http://schemas.microsoft.com/office/drawing/2014/main" id="{0BDB116A-8AB1-4932-AEBB-EDE5010B7DB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 uri="{96DAC541-7B7A-43D3-8B79-37D633B846F1}">
              <asvg:svgBlip xmlns:asvg="http://schemas.microsoft.com/office/drawing/2016/SVG/main" r:embed="rId33"/>
            </a:ext>
            <a:ext uri="{837473B0-CC2E-450A-ABE3-18F120FF3D39}">
              <a1611:picAttrSrcUrl xmlns:a1611="http://schemas.microsoft.com/office/drawing/2016/11/main" r:id="rId34"/>
            </a:ext>
          </a:extLst>
        </a:blip>
        <a:stretch>
          <a:fillRect/>
        </a:stretch>
      </xdr:blipFill>
      <xdr:spPr>
        <a:xfrm>
          <a:off x="223839" y="3698683"/>
          <a:ext cx="309561" cy="212521"/>
        </a:xfrm>
        <a:prstGeom prst="rect">
          <a:avLst/>
        </a:prstGeom>
      </xdr:spPr>
    </xdr:pic>
    <xdr:clientData/>
  </xdr:twoCellAnchor>
  <xdr:twoCellAnchor editAs="oneCell">
    <xdr:from>
      <xdr:col>9</xdr:col>
      <xdr:colOff>890588</xdr:colOff>
      <xdr:row>11</xdr:row>
      <xdr:rowOff>160224</xdr:rowOff>
    </xdr:from>
    <xdr:to>
      <xdr:col>10</xdr:col>
      <xdr:colOff>461961</xdr:colOff>
      <xdr:row>12</xdr:row>
      <xdr:rowOff>153420</xdr:rowOff>
    </xdr:to>
    <xdr:pic>
      <xdr:nvPicPr>
        <xdr:cNvPr id="62" name="Picture 61">
          <a:extLst>
            <a:ext uri="{FF2B5EF4-FFF2-40B4-BE49-F238E27FC236}">
              <a16:creationId xmlns:a16="http://schemas.microsoft.com/office/drawing/2014/main" id="{E1FEB3B8-0998-48AE-A327-7D151C5B313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 uri="{837473B0-CC2E-450A-ABE3-18F120FF3D39}">
              <a1611:picAttrSrcUrl xmlns:a1611="http://schemas.microsoft.com/office/drawing/2016/11/main" r:id="rId23"/>
            </a:ext>
          </a:extLst>
        </a:blip>
        <a:stretch>
          <a:fillRect/>
        </a:stretch>
      </xdr:blipFill>
      <xdr:spPr>
        <a:xfrm>
          <a:off x="9120188" y="2884374"/>
          <a:ext cx="485773" cy="240846"/>
        </a:xfrm>
        <a:prstGeom prst="rect">
          <a:avLst/>
        </a:prstGeom>
      </xdr:spPr>
    </xdr:pic>
    <xdr:clientData/>
  </xdr:twoCellAnchor>
  <xdr:twoCellAnchor>
    <xdr:from>
      <xdr:col>11</xdr:col>
      <xdr:colOff>342899</xdr:colOff>
      <xdr:row>0</xdr:row>
      <xdr:rowOff>161924</xdr:rowOff>
    </xdr:from>
    <xdr:to>
      <xdr:col>13</xdr:col>
      <xdr:colOff>23812</xdr:colOff>
      <xdr:row>4</xdr:row>
      <xdr:rowOff>228599</xdr:rowOff>
    </xdr:to>
    <mc:AlternateContent xmlns:mc="http://schemas.openxmlformats.org/markup-compatibility/2006" xmlns:a14="http://schemas.microsoft.com/office/drawing/2010/main">
      <mc:Choice Requires="a14">
        <xdr:graphicFrame macro="">
          <xdr:nvGraphicFramePr>
            <xdr:cNvPr id="64" name="Employment Status 2">
              <a:extLst>
                <a:ext uri="{FF2B5EF4-FFF2-40B4-BE49-F238E27FC236}">
                  <a16:creationId xmlns:a16="http://schemas.microsoft.com/office/drawing/2014/main" id="{4967288E-341C-4CCD-A931-FB503F32CD02}"/>
                </a:ext>
              </a:extLst>
            </xdr:cNvPr>
            <xdr:cNvGraphicFramePr/>
          </xdr:nvGraphicFramePr>
          <xdr:xfrm>
            <a:off x="0" y="0"/>
            <a:ext cx="0" cy="0"/>
          </xdr:xfrm>
          <a:graphic>
            <a:graphicData uri="http://schemas.microsoft.com/office/drawing/2010/slicer">
              <sle:slicer xmlns:sle="http://schemas.microsoft.com/office/drawing/2010/slicer" name="Employment Status 2"/>
            </a:graphicData>
          </a:graphic>
        </xdr:graphicFrame>
      </mc:Choice>
      <mc:Fallback xmlns="">
        <xdr:sp macro="" textlink="">
          <xdr:nvSpPr>
            <xdr:cNvPr id="0" name=""/>
            <xdr:cNvSpPr>
              <a:spLocks noTextEdit="1"/>
            </xdr:cNvSpPr>
          </xdr:nvSpPr>
          <xdr:spPr>
            <a:xfrm>
              <a:off x="10427493" y="161924"/>
              <a:ext cx="1514475"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361950</xdr:colOff>
      <xdr:row>13</xdr:row>
      <xdr:rowOff>66674</xdr:rowOff>
    </xdr:from>
    <xdr:to>
      <xdr:col>6</xdr:col>
      <xdr:colOff>381000</xdr:colOff>
      <xdr:row>22</xdr:row>
      <xdr:rowOff>180975</xdr:rowOff>
    </xdr:to>
    <xdr:graphicFrame macro="">
      <xdr:nvGraphicFramePr>
        <xdr:cNvPr id="69" name="Chart 68">
          <a:extLst>
            <a:ext uri="{FF2B5EF4-FFF2-40B4-BE49-F238E27FC236}">
              <a16:creationId xmlns:a16="http://schemas.microsoft.com/office/drawing/2014/main" id="{F53FC467-ABA2-44B1-8005-2CDD7E0E9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0</xdr:col>
      <xdr:colOff>903019</xdr:colOff>
      <xdr:row>0</xdr:row>
      <xdr:rowOff>136071</xdr:rowOff>
    </xdr:from>
    <xdr:to>
      <xdr:col>3</xdr:col>
      <xdr:colOff>470065</xdr:colOff>
      <xdr:row>1</xdr:row>
      <xdr:rowOff>210292</xdr:rowOff>
    </xdr:to>
    <xdr:sp macro="" textlink="">
      <xdr:nvSpPr>
        <xdr:cNvPr id="2" name="TextBox 1">
          <a:extLst>
            <a:ext uri="{FF2B5EF4-FFF2-40B4-BE49-F238E27FC236}">
              <a16:creationId xmlns:a16="http://schemas.microsoft.com/office/drawing/2014/main" id="{02B9157E-6DAC-4F9D-8F62-870A5F64C219}"/>
            </a:ext>
          </a:extLst>
        </xdr:cNvPr>
        <xdr:cNvSpPr txBox="1"/>
      </xdr:nvSpPr>
      <xdr:spPr>
        <a:xfrm>
          <a:off x="903019" y="136071"/>
          <a:ext cx="2313215" cy="32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solidFill>
                <a:schemeClr val="tx1">
                  <a:lumMod val="95000"/>
                  <a:lumOff val="5000"/>
                </a:schemeClr>
              </a:solidFill>
              <a:latin typeface="Bahnschrift Condensed" panose="020B0502040204020203" pitchFamily="34" charset="0"/>
            </a:rPr>
            <a:t>Diamond</a:t>
          </a:r>
          <a:r>
            <a:rPr lang="en-US" sz="1900" b="1" baseline="0">
              <a:solidFill>
                <a:schemeClr val="tx1">
                  <a:lumMod val="95000"/>
                  <a:lumOff val="5000"/>
                </a:schemeClr>
              </a:solidFill>
              <a:latin typeface="Bahnschrift Condensed" panose="020B0502040204020203" pitchFamily="34" charset="0"/>
            </a:rPr>
            <a:t> Global Initiatives</a:t>
          </a:r>
          <a:endParaRPr lang="en-US" sz="1900" b="1">
            <a:solidFill>
              <a:schemeClr val="tx1">
                <a:lumMod val="95000"/>
                <a:lumOff val="5000"/>
              </a:schemeClr>
            </a:solidFill>
            <a:latin typeface="Bahnschrift Condensed" panose="020B0502040204020203" pitchFamily="34" charset="0"/>
          </a:endParaRPr>
        </a:p>
      </xdr:txBody>
    </xdr:sp>
    <xdr:clientData/>
  </xdr:twoCellAnchor>
  <xdr:twoCellAnchor>
    <xdr:from>
      <xdr:col>1</xdr:col>
      <xdr:colOff>18183</xdr:colOff>
      <xdr:row>1</xdr:row>
      <xdr:rowOff>210292</xdr:rowOff>
    </xdr:from>
    <xdr:to>
      <xdr:col>3</xdr:col>
      <xdr:colOff>540667</xdr:colOff>
      <xdr:row>3</xdr:row>
      <xdr:rowOff>24741</xdr:rowOff>
    </xdr:to>
    <xdr:sp macro="" textlink="">
      <xdr:nvSpPr>
        <xdr:cNvPr id="63" name="TextBox 62">
          <a:extLst>
            <a:ext uri="{FF2B5EF4-FFF2-40B4-BE49-F238E27FC236}">
              <a16:creationId xmlns:a16="http://schemas.microsoft.com/office/drawing/2014/main" id="{937FC621-7FD0-48CE-9638-0E36620E94CE}"/>
            </a:ext>
          </a:extLst>
        </xdr:cNvPr>
        <xdr:cNvSpPr txBox="1"/>
      </xdr:nvSpPr>
      <xdr:spPr>
        <a:xfrm>
          <a:off x="933573" y="457695"/>
          <a:ext cx="2353263" cy="30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a:solidFill>
                <a:srgbClr val="800000"/>
              </a:solidFill>
              <a:latin typeface="Arial Black" panose="020B0A04020102020204" pitchFamily="34" charset="0"/>
            </a:rPr>
            <a:t> </a:t>
          </a:r>
          <a:r>
            <a:rPr lang="en-US" sz="1800">
              <a:solidFill>
                <a:srgbClr val="800000"/>
              </a:solidFill>
              <a:latin typeface="Rockwell Condensed" panose="02060603050405020104" pitchFamily="18" charset="0"/>
            </a:rPr>
            <a:t>HR Performance Analysis</a:t>
          </a:r>
          <a:endParaRPr lang="en-US" sz="1200">
            <a:solidFill>
              <a:srgbClr val="800000"/>
            </a:solidFill>
            <a:latin typeface="Rockwell Condensed" panose="020606030504050201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1016000</xdr:colOff>
      <xdr:row>5</xdr:row>
      <xdr:rowOff>105834</xdr:rowOff>
    </xdr:from>
    <xdr:to>
      <xdr:col>4</xdr:col>
      <xdr:colOff>412750</xdr:colOff>
      <xdr:row>13</xdr:row>
      <xdr:rowOff>69850</xdr:rowOff>
    </xdr:to>
    <xdr:graphicFrame macro="">
      <xdr:nvGraphicFramePr>
        <xdr:cNvPr id="3" name="Chart 2">
          <a:extLst>
            <a:ext uri="{FF2B5EF4-FFF2-40B4-BE49-F238E27FC236}">
              <a16:creationId xmlns:a16="http://schemas.microsoft.com/office/drawing/2014/main" id="{960DAAC2-0CAD-4D78-BD27-1DC087F09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793750</xdr:colOff>
      <xdr:row>2</xdr:row>
      <xdr:rowOff>63501</xdr:rowOff>
    </xdr:from>
    <xdr:to>
      <xdr:col>4</xdr:col>
      <xdr:colOff>264583</xdr:colOff>
      <xdr:row>9</xdr:row>
      <xdr:rowOff>10583</xdr:rowOff>
    </xdr:to>
    <xdr:graphicFrame macro="">
      <xdr:nvGraphicFramePr>
        <xdr:cNvPr id="3" name="Chart 2">
          <a:extLst>
            <a:ext uri="{FF2B5EF4-FFF2-40B4-BE49-F238E27FC236}">
              <a16:creationId xmlns:a16="http://schemas.microsoft.com/office/drawing/2014/main" id="{9CEB8B11-9868-4800-9525-FAC75E16D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1164167</xdr:colOff>
      <xdr:row>1</xdr:row>
      <xdr:rowOff>222249</xdr:rowOff>
    </xdr:from>
    <xdr:to>
      <xdr:col>4</xdr:col>
      <xdr:colOff>31749</xdr:colOff>
      <xdr:row>10</xdr:row>
      <xdr:rowOff>148166</xdr:rowOff>
    </xdr:to>
    <xdr:graphicFrame macro="">
      <xdr:nvGraphicFramePr>
        <xdr:cNvPr id="3" name="Chart 2">
          <a:extLst>
            <a:ext uri="{FF2B5EF4-FFF2-40B4-BE49-F238E27FC236}">
              <a16:creationId xmlns:a16="http://schemas.microsoft.com/office/drawing/2014/main" id="{B136E9EA-7535-4065-AF2A-75AFDC8ED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1725083</xdr:colOff>
      <xdr:row>4</xdr:row>
      <xdr:rowOff>190501</xdr:rowOff>
    </xdr:from>
    <xdr:to>
      <xdr:col>5</xdr:col>
      <xdr:colOff>1254760</xdr:colOff>
      <xdr:row>14</xdr:row>
      <xdr:rowOff>133775</xdr:rowOff>
    </xdr:to>
    <xdr:graphicFrame macro="">
      <xdr:nvGraphicFramePr>
        <xdr:cNvPr id="3" name="Chart 2">
          <a:extLst>
            <a:ext uri="{FF2B5EF4-FFF2-40B4-BE49-F238E27FC236}">
              <a16:creationId xmlns:a16="http://schemas.microsoft.com/office/drawing/2014/main" id="{A7D388E2-C94B-4206-B258-716556FF5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105834</xdr:colOff>
      <xdr:row>3</xdr:row>
      <xdr:rowOff>197907</xdr:rowOff>
    </xdr:from>
    <xdr:to>
      <xdr:col>5</xdr:col>
      <xdr:colOff>1481668</xdr:colOff>
      <xdr:row>15</xdr:row>
      <xdr:rowOff>63500</xdr:rowOff>
    </xdr:to>
    <xdr:graphicFrame macro="">
      <xdr:nvGraphicFramePr>
        <xdr:cNvPr id="3" name="Chart 2">
          <a:extLst>
            <a:ext uri="{FF2B5EF4-FFF2-40B4-BE49-F238E27FC236}">
              <a16:creationId xmlns:a16="http://schemas.microsoft.com/office/drawing/2014/main" id="{549A0F02-8623-47D4-8C8D-661F34CE1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158749</xdr:colOff>
      <xdr:row>4</xdr:row>
      <xdr:rowOff>52914</xdr:rowOff>
    </xdr:from>
    <xdr:to>
      <xdr:col>10</xdr:col>
      <xdr:colOff>306916</xdr:colOff>
      <xdr:row>12</xdr:row>
      <xdr:rowOff>42332</xdr:rowOff>
    </xdr:to>
    <xdr:graphicFrame macro="">
      <xdr:nvGraphicFramePr>
        <xdr:cNvPr id="2" name="Chart 1">
          <a:extLst>
            <a:ext uri="{FF2B5EF4-FFF2-40B4-BE49-F238E27FC236}">
              <a16:creationId xmlns:a16="http://schemas.microsoft.com/office/drawing/2014/main" id="{DF97349C-C423-484E-A565-8079F6C29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911678</xdr:colOff>
      <xdr:row>3</xdr:row>
      <xdr:rowOff>136071</xdr:rowOff>
    </xdr:from>
    <xdr:to>
      <xdr:col>6</xdr:col>
      <xdr:colOff>585108</xdr:colOff>
      <xdr:row>13</xdr:row>
      <xdr:rowOff>176893</xdr:rowOff>
    </xdr:to>
    <xdr:graphicFrame macro="">
      <xdr:nvGraphicFramePr>
        <xdr:cNvPr id="3" name="Chart 2">
          <a:extLst>
            <a:ext uri="{FF2B5EF4-FFF2-40B4-BE49-F238E27FC236}">
              <a16:creationId xmlns:a16="http://schemas.microsoft.com/office/drawing/2014/main" id="{0D606D69-BC44-4BF5-857C-F056D2E6D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1660069</xdr:colOff>
      <xdr:row>6</xdr:row>
      <xdr:rowOff>204108</xdr:rowOff>
    </xdr:from>
    <xdr:to>
      <xdr:col>4</xdr:col>
      <xdr:colOff>1455964</xdr:colOff>
      <xdr:row>22</xdr:row>
      <xdr:rowOff>13607</xdr:rowOff>
    </xdr:to>
    <xdr:graphicFrame macro="">
      <xdr:nvGraphicFramePr>
        <xdr:cNvPr id="3" name="Chart 2">
          <a:extLst>
            <a:ext uri="{FF2B5EF4-FFF2-40B4-BE49-F238E27FC236}">
              <a16:creationId xmlns:a16="http://schemas.microsoft.com/office/drawing/2014/main" id="{34BFD884-F3A3-484C-AE53-00B9D0779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28575</xdr:colOff>
      <xdr:row>6</xdr:row>
      <xdr:rowOff>114302</xdr:rowOff>
    </xdr:from>
    <xdr:to>
      <xdr:col>4</xdr:col>
      <xdr:colOff>771525</xdr:colOff>
      <xdr:row>12</xdr:row>
      <xdr:rowOff>200025</xdr:rowOff>
    </xdr:to>
    <xdr:graphicFrame macro="">
      <xdr:nvGraphicFramePr>
        <xdr:cNvPr id="4" name="Chart 3">
          <a:extLst>
            <a:ext uri="{FF2B5EF4-FFF2-40B4-BE49-F238E27FC236}">
              <a16:creationId xmlns:a16="http://schemas.microsoft.com/office/drawing/2014/main" id="{C8D59428-E4E6-4359-B29B-4D42A1D7C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333377</xdr:colOff>
      <xdr:row>5</xdr:row>
      <xdr:rowOff>85726</xdr:rowOff>
    </xdr:from>
    <xdr:to>
      <xdr:col>5</xdr:col>
      <xdr:colOff>333375</xdr:colOff>
      <xdr:row>11</xdr:row>
      <xdr:rowOff>171450</xdr:rowOff>
    </xdr:to>
    <xdr:graphicFrame macro="">
      <xdr:nvGraphicFramePr>
        <xdr:cNvPr id="3" name="Chart 2">
          <a:extLst>
            <a:ext uri="{FF2B5EF4-FFF2-40B4-BE49-F238E27FC236}">
              <a16:creationId xmlns:a16="http://schemas.microsoft.com/office/drawing/2014/main" id="{D616B171-A5B9-4614-82FA-242E6349F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552450</xdr:colOff>
      <xdr:row>3</xdr:row>
      <xdr:rowOff>161925</xdr:rowOff>
    </xdr:from>
    <xdr:to>
      <xdr:col>5</xdr:col>
      <xdr:colOff>333376</xdr:colOff>
      <xdr:row>12</xdr:row>
      <xdr:rowOff>47625</xdr:rowOff>
    </xdr:to>
    <xdr:graphicFrame macro="">
      <xdr:nvGraphicFramePr>
        <xdr:cNvPr id="3" name="Chart 2">
          <a:extLst>
            <a:ext uri="{FF2B5EF4-FFF2-40B4-BE49-F238E27FC236}">
              <a16:creationId xmlns:a16="http://schemas.microsoft.com/office/drawing/2014/main" id="{4BFEEEAF-9B23-439C-B376-3C254D97B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eecah" refreshedDate="46028.61482638889" createdVersion="7" refreshedVersion="7" minRefreshableVersion="3" recordCount="311" xr:uid="{86126288-89E8-4A10-92E2-2D42975D1DCE}">
  <cacheSource type="worksheet">
    <worksheetSource name="HR_Data"/>
  </cacheSource>
  <cacheFields count="30">
    <cacheField name="Employee Name" numFmtId="0">
      <sharedItems count="311">
        <s v="Adinolfi, Wilson  K"/>
        <s v="Ait Sidi, Karthikeyan   "/>
        <s v="Akinkuolie, Sarah"/>
        <s v="Alagbe,Trina"/>
        <s v="Anderson, Carol "/>
        <s v="Anderson, Linda  "/>
        <s v="Andreola, Colby"/>
        <s v="Athwal, Sam"/>
        <s v="Bachiochi, Linda"/>
        <s v="Bacong, Alejandro "/>
        <s v="Baczenski, Rachael  "/>
        <s v="Barbara, Thomas"/>
        <s v="Barbossa, Hector"/>
        <s v="Barone, Francesco  A"/>
        <s v="Barton, Nader"/>
        <s v="Bates, Norman"/>
        <s v="Beak, Kimberly  "/>
        <s v="Beatrice, Courtney "/>
        <s v="Becker, Renee"/>
        <s v="Becker, Scott"/>
        <s v="Bernstein, Sean"/>
        <s v="Biden, Lowan  M"/>
        <s v="Billis, Helen"/>
        <s v="Blount, Dianna"/>
        <s v="Bondwell, Betsy"/>
        <s v="Booth, Frank"/>
        <s v="Boutwell, Bonalyn"/>
        <s v="Bozzi, Charles"/>
        <s v="Brill, Donna"/>
        <s v="Brown, Mia"/>
        <s v="Buccheri, Joseph  "/>
        <s v="Bugali, Josephine "/>
        <s v="Bunbury, Jessica"/>
        <s v="Burke, Joelle"/>
        <s v="Burkett, Benjamin "/>
        <s v="Cady, Max "/>
        <s v="Candie, Calvin"/>
        <s v="Carabbio, Judith"/>
        <s v="Carey, Michael  "/>
        <s v="Carr, Claudia  N"/>
        <s v="Carter, Michelle "/>
        <s v="Chace, Beatrice "/>
        <s v="Champaigne, Brian"/>
        <s v="Chan, Lin"/>
        <s v="Chang, Donovan  E"/>
        <s v="Chigurh, Anton"/>
        <s v="Chivukula, Enola"/>
        <s v="Cierpiszewski, Caroline  "/>
        <s v="Clayton, Rick"/>
        <s v="Cloninger, Jennifer"/>
        <s v="Close, Phil"/>
        <s v="Clukey, Elijian"/>
        <s v="Cockel, James"/>
        <s v="Cole, Spencer"/>
        <s v="Corleone, Michael"/>
        <s v="Corleone, Vito"/>
        <s v="Cornett, Lisa "/>
        <s v="Costello, Frank"/>
        <s v="Crimmings,   Jean"/>
        <s v="Cross, Noah"/>
        <s v="Daneault, Lynn"/>
        <s v="Daniele, Ann  "/>
        <s v="Darson, Jene'ya "/>
        <s v="Davis, Daniel"/>
        <s v="Dee, Randy"/>
        <s v="DeGweck,  James"/>
        <s v="Del Bosque, Keyla"/>
        <s v="Delarge, Alex"/>
        <s v="Demita, Carla"/>
        <s v="Desimone, Carl "/>
        <s v="DeVito, Tommy"/>
        <s v="Dickinson, Geoff "/>
        <s v="Dietrich, Jenna  "/>
        <s v="DiNocco, Lily "/>
        <s v="Dobrin, Denisa  S"/>
        <s v="Dolan, Linda"/>
        <s v="Dougall, Eric"/>
        <s v="Driver, Elle"/>
        <s v="Dunn, Amy  "/>
        <s v="Dunne, Amy"/>
        <s v="Eaton, Marianne"/>
        <s v="Engdahl, Jean"/>
        <s v="England, Rex"/>
        <s v="Erilus, Angela"/>
        <s v="Estremera, Miguel"/>
        <s v="Evensen, April"/>
        <s v="Exantus, Susan"/>
        <s v="Faller, Megan "/>
        <s v="Fancett, Nicole"/>
        <s v="Ferguson, Susan"/>
        <s v="Fernandes, Nilson  "/>
        <s v="Fett, Boba"/>
        <s v="Fidelia,  Libby"/>
        <s v="Fitzpatrick, Michael  J"/>
        <s v="Foreman, Tanya"/>
        <s v="Forrest, Alex"/>
        <s v="Foss, Jason"/>
        <s v="Foster-Baker, Amy"/>
        <s v="Fraval, Maruk "/>
        <s v="Galia, Lisa"/>
        <s v="Garcia, Raul"/>
        <s v="Gaul, Barbara"/>
        <s v="Gentry, Mildred"/>
        <s v="Gerke, Melisa"/>
        <s v="Gill, Whitney  "/>
        <s v="Gilles, Alex"/>
        <s v="Girifalco, Evelyn"/>
        <s v="Givens, Myriam"/>
        <s v="Goble, Taisha"/>
        <s v="Goeth, Amon"/>
        <s v="Gold, Shenice  "/>
        <s v="Gonzalez, Cayo"/>
        <s v="Gonzalez, Juan"/>
        <s v="Gonzalez, Maria"/>
        <s v="Good, Susan"/>
        <s v="Gordon, David"/>
        <s v="Gosciminski, Phylicia  "/>
        <s v="Goyal, Roxana"/>
        <s v="Gray, Elijiah  "/>
        <s v="Gross, Paula"/>
        <s v="Gruber, Hans"/>
        <s v="Guilianno, Mike"/>
        <s v="Handschiegl, Joanne"/>
        <s v="Hankard, Earnest"/>
        <s v="Harrington, Christie "/>
        <s v="Harrison, Kara"/>
        <s v="Heitzman, Anthony"/>
        <s v="Hendrickson, Trina"/>
        <s v="Hitchcock, Alfred"/>
        <s v="Homberger, Adrienne  J"/>
        <s v="Horton, Jayne"/>
        <s v="Houlihan, Debra"/>
        <s v="Howard, Estelle"/>
        <s v="Hudson, Jane"/>
        <s v="Hunts, Julissa"/>
        <s v="Hutter, Rosalie"/>
        <s v="Huynh, Ming"/>
        <s v="Immediato, Walter"/>
        <s v="Ivey, Rose "/>
        <s v="Jackson, Maryellen"/>
        <s v="Jacobi, Hannah  "/>
        <s v="Jeannite, Tayana"/>
        <s v="Jhaveri, Sneha  "/>
        <s v="Johnson, George"/>
        <s v="Johnson, Noelle "/>
        <s v="Johnston, Yen"/>
        <s v="Jung, Judy  "/>
        <s v="Kampew, Donysha"/>
        <s v="Keatts, Kramer "/>
        <s v="Khemmich, Bartholemew"/>
        <s v="King, Janet"/>
        <s v="Kinsella, Kathleen  "/>
        <s v="Kirill, Alexandra  "/>
        <s v="Knapp, Bradley  J"/>
        <s v="Kretschmer, John"/>
        <s v="Kreuger, Freddy"/>
        <s v="Lajiri,  Jyoti"/>
        <s v="Landa, Hans"/>
        <s v="Langford, Lindsey"/>
        <s v="Langton, Enrico"/>
        <s v="LaRotonda, William  "/>
        <s v="Latif, Mohammed"/>
        <s v="Le, Binh"/>
        <s v="Leach, Dallas"/>
        <s v="LeBlanc, Brandon  R"/>
        <s v="Lecter, Hannibal"/>
        <s v="Leruth, Giovanni"/>
        <s v="Liebig, Ketsia"/>
        <s v="Linares, Marilyn "/>
        <s v="Linden, Mathew"/>
        <s v="Lindsay, Leonara "/>
        <s v="Lundy, Susan"/>
        <s v="Lunquist, Lisa"/>
        <s v="Lydon, Allison"/>
        <s v="Lynch, Lindsay"/>
        <s v="MacLennan, Samuel"/>
        <s v="Mahoney, Lauren  "/>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
        <s v="Myers, Michael"/>
        <s v="Navathe, Kurt"/>
        <s v="Ndzi, Colombui"/>
        <s v="Ndzi, Horia"/>
        <s v="Newman, Richard "/>
        <s v="Ngodup, Shari "/>
        <s v="Nguyen, Dheepa"/>
        <s v="Nguyen, Lei-Ming"/>
        <s v="Nowlan, Kristie"/>
        <s v="O'hare, Lynn"/>
        <s v="Oliver, Brooke "/>
        <s v="Onque, Jasmine"/>
        <s v="Osturnka, Adeel"/>
        <s v="Owad, Clinton"/>
        <s v="Ozark, Travis"/>
        <s v="Panjwani, Nina"/>
        <s v="Patronick, Lucas"/>
        <s v="Pearson, Randall"/>
        <s v="Smith, Martin"/>
        <s v="Pelletier, Ermine"/>
        <s v="Perry, Shakira"/>
        <s v="Peters, Lauren"/>
        <s v="Peterson, Ebonee  "/>
        <s v="Petingill, Shana  "/>
        <s v="Petrowsky, Thelma"/>
        <s v="Pham, Hong"/>
        <s v="Pitt, Brad "/>
        <s v="Potts, Xana"/>
        <s v="Power, Morissa"/>
        <s v="Punjabhi, Louis  "/>
        <s v="Purinton, Janine"/>
        <s v="Quinn, Sean"/>
        <s v="Rachael, Maggie"/>
        <s v="Rarrick, Quinn"/>
        <s v="Ren, Kylo"/>
        <s v="Rhoads, Thomas"/>
        <s v="Rivera, Haley  "/>
        <s v="Roberson, May"/>
        <s v="Robertson, Peter"/>
        <s v="Robinson, Alain  "/>
        <s v="Robinson, Cherly"/>
        <s v="Robinson, Elias"/>
        <s v="Roby, Lori "/>
        <s v="Roehrich, Bianca"/>
        <s v="Roper, Katie"/>
        <s v="Rose, Ashley  "/>
        <s v="Rossetti, Bruno"/>
        <s v="Roup,Simon"/>
        <s v="Ruiz, Ricardo"/>
        <s v="Saada, Adell"/>
        <s v="Saar-Beckles, Melinda"/>
        <s v="Sadki, Nore  "/>
        <s v="Sahoo, Adil"/>
        <s v="Salter, Jason"/>
        <s v="Sander, Kamrin"/>
        <s v="Sewkumar, Nori"/>
        <s v="Shepard, Anita "/>
        <s v="Shields, Seffi"/>
        <s v="Simard, Kramer"/>
        <s v="Singh, Nan "/>
        <s v="Sloan, Constance"/>
        <s v="Smith, Joe"/>
        <s v="Smith, John"/>
        <s v="Smith, Leigh Ann"/>
        <s v="Smith, Sade"/>
        <s v="Soto, Julia "/>
        <s v="Soze, Keyser"/>
        <s v="Sparks, Taylor  "/>
        <s v="Spirea, Kelley"/>
        <s v="Squatrito, Kristen"/>
        <s v="Stanford,Barbara  M"/>
        <s v="Stansfield, Norman"/>
        <s v="Steans, Tyrone  "/>
        <s v="Stoica, Rick"/>
        <s v="Strong, Caitrin"/>
        <s v="Sullivan, Kissy "/>
        <s v="Sullivan, Timothy"/>
        <s v="Sutwell, Barbara"/>
        <s v="Szabo, Andrew"/>
        <s v="Tannen, Biff"/>
        <s v="Tavares, Desiree  "/>
        <s v="Tejeda, Lenora "/>
        <s v="Terry, Sharlene "/>
        <s v="Theamstern, Sophia"/>
        <s v="Thibaud, Kenneth"/>
        <s v="Tippett, Jeanette"/>
        <s v="Torrence, Jack"/>
        <s v="Trang, Mei"/>
        <s v="Tredinnick, Neville "/>
        <s v="True, Edward"/>
        <s v="Trzeciak, Cybil"/>
        <s v="Turpin, Jumil"/>
        <s v="Valentin,Jackie"/>
        <s v="Veera, Abdellah "/>
        <s v="Vega, Vincent"/>
        <s v="Villanueva, Noah"/>
        <s v="Voldemort, Lord"/>
        <s v="Volk, Colleen"/>
        <s v="Von Massenbach, Anna"/>
        <s v="Walker, Roger"/>
        <s v="Wallace, Courtney  E"/>
        <s v="Wallace, Theresa"/>
        <s v="Wang, Charlie"/>
        <s v="Warfield, Sarah"/>
        <s v="Whittier, Scott"/>
        <s v="Wilber, Barry"/>
        <s v="Wilkes, Annie"/>
        <s v="Williams, Jacquelyn  "/>
        <s v="Winthrop, Jordan  "/>
        <s v="Wolk, Hang  T"/>
        <s v="Woodson, Jason"/>
        <s v="Ybarra, Catherine "/>
        <s v="Zamora, Jennifer"/>
        <s v="Zhou, Julia"/>
        <s v="Zima, Colleen"/>
      </sharedItems>
    </cacheField>
    <cacheField name="Employee ID" numFmtId="1">
      <sharedItems containsSemiMixedTypes="0" containsString="0" containsNumber="1" containsInteger="1" minValue="10001" maxValue="10311" count="311">
        <n v="10026"/>
        <n v="10084"/>
        <n v="10196"/>
        <n v="10088"/>
        <n v="10069"/>
        <n v="10002"/>
        <n v="10194"/>
        <n v="10062"/>
        <n v="10114"/>
        <n v="10250"/>
        <n v="10252"/>
        <n v="10242"/>
        <n v="10012"/>
        <n v="10265"/>
        <n v="10066"/>
        <n v="10061"/>
        <n v="10023"/>
        <n v="10055"/>
        <n v="10245"/>
        <n v="10277"/>
        <n v="10046"/>
        <n v="10226"/>
        <n v="10003"/>
        <n v="10294"/>
        <n v="10267"/>
        <n v="10199"/>
        <n v="10081"/>
        <n v="10175"/>
        <n v="10177"/>
        <n v="10238"/>
        <n v="10184"/>
        <n v="10203"/>
        <n v="10188"/>
        <n v="10107"/>
        <n v="10181"/>
        <n v="10150"/>
        <n v="10001"/>
        <n v="10085"/>
        <n v="10115"/>
        <n v="10082"/>
        <n v="10040"/>
        <n v="10067"/>
        <n v="10108"/>
        <n v="10210"/>
        <n v="10154"/>
        <n v="10200"/>
        <n v="10240"/>
        <n v="10168"/>
        <n v="10220"/>
        <n v="10275"/>
        <n v="10269"/>
        <n v="10029"/>
        <n v="10261"/>
        <n v="10292"/>
        <n v="10282"/>
        <n v="10019"/>
        <n v="10094"/>
        <n v="10193"/>
        <n v="10132"/>
        <n v="10083"/>
        <n v="10099"/>
        <n v="10212"/>
        <n v="10056"/>
        <n v="10143"/>
        <n v="10311"/>
        <n v="10070"/>
        <n v="10155"/>
        <n v="10306"/>
        <n v="10100"/>
        <n v="10310"/>
        <n v="10197"/>
        <n v="10276"/>
        <n v="10304"/>
        <n v="10284"/>
        <n v="10207"/>
        <n v="10133"/>
        <n v="10028"/>
        <n v="10006"/>
        <n v="10105"/>
        <n v="10211"/>
        <n v="10064"/>
        <n v="10247"/>
        <n v="10235"/>
        <n v="10299"/>
        <n v="10280"/>
        <n v="10296"/>
        <n v="10290"/>
        <n v="10263"/>
        <n v="10136"/>
        <n v="10189"/>
        <n v="10308"/>
        <n v="10309"/>
        <n v="10049"/>
        <n v="10093"/>
        <n v="10163"/>
        <n v="10305"/>
        <n v="10015"/>
        <n v="10080"/>
        <n v="10258"/>
        <n v="10273"/>
        <n v="10111"/>
        <n v="10257"/>
        <n v="10159"/>
        <n v="10122"/>
        <n v="10142"/>
        <n v="10283"/>
        <n v="10018"/>
        <n v="10255"/>
        <n v="10246"/>
        <n v="10228"/>
        <n v="10243"/>
        <n v="10031"/>
        <n v="10300"/>
        <n v="10101"/>
        <n v="10237"/>
        <n v="10051"/>
        <n v="10218"/>
        <n v="10256"/>
        <n v="10098"/>
        <n v="10059"/>
        <n v="10234"/>
        <n v="10109"/>
        <n v="10125"/>
        <n v="10074"/>
        <n v="10097"/>
        <n v="10007"/>
        <n v="10129"/>
        <n v="10075"/>
        <n v="10167"/>
        <n v="10195"/>
        <n v="10112"/>
        <n v="10272"/>
        <n v="10182"/>
        <n v="10248"/>
        <n v="10201"/>
        <n v="10214"/>
        <n v="10160"/>
        <n v="10289"/>
        <n v="10139"/>
        <n v="10227"/>
        <n v="10236"/>
        <n v="10009"/>
        <n v="10060"/>
        <n v="10034"/>
        <n v="10156"/>
        <n v="10036"/>
        <n v="10138"/>
        <n v="10244"/>
        <n v="10192"/>
        <n v="10231"/>
        <n v="10089"/>
        <n v="10166"/>
        <n v="10170"/>
        <n v="10208"/>
        <n v="10176"/>
        <n v="10165"/>
        <n v="10113"/>
        <n v="10092"/>
        <n v="10106"/>
        <n v="10052"/>
        <n v="10038"/>
        <n v="10249"/>
        <n v="10232"/>
        <n v="10087"/>
        <n v="10134"/>
        <n v="10251"/>
        <n v="10103"/>
        <n v="10017"/>
        <n v="10186"/>
        <n v="10137"/>
        <n v="10008"/>
        <n v="10096"/>
        <n v="10035"/>
        <n v="10057"/>
        <n v="10004"/>
        <n v="10191"/>
        <n v="10219"/>
        <n v="10077"/>
        <n v="10073"/>
        <n v="10279"/>
        <n v="10110"/>
        <n v="10053"/>
        <n v="10076"/>
        <n v="10145"/>
        <n v="10202"/>
        <n v="10128"/>
        <n v="10068"/>
        <n v="10116"/>
        <n v="10298"/>
        <n v="10213"/>
        <n v="10288"/>
        <n v="10025"/>
        <n v="10223"/>
        <n v="10151"/>
        <n v="10254"/>
        <n v="10120"/>
        <n v="10216"/>
        <n v="10079"/>
        <n v="10215"/>
        <n v="10185"/>
        <n v="10063"/>
        <n v="10037"/>
        <n v="10042"/>
        <n v="10206"/>
        <n v="10104"/>
        <n v="10303"/>
        <n v="10078"/>
        <n v="10121"/>
        <n v="10021"/>
        <n v="10281"/>
        <n v="10041"/>
        <n v="10148"/>
        <n v="10005"/>
        <n v="10259"/>
        <n v="10286"/>
        <n v="10297"/>
        <n v="10171"/>
        <n v="10032"/>
        <n v="10130"/>
        <n v="10217"/>
        <n v="10016"/>
        <n v="10050"/>
        <n v="10164"/>
        <n v="10124"/>
        <n v="10187"/>
        <n v="10225"/>
        <n v="10262"/>
        <n v="10131"/>
        <n v="10239"/>
        <n v="10152"/>
        <n v="10140"/>
        <n v="10058"/>
        <n v="10011"/>
        <n v="10230"/>
        <n v="10224"/>
        <n v="10047"/>
        <n v="10285"/>
        <n v="10020"/>
        <n v="10162"/>
        <n v="10149"/>
        <n v="10086"/>
        <n v="10054"/>
        <n v="10065"/>
        <n v="10198"/>
        <n v="10222"/>
        <n v="10126"/>
        <n v="10295"/>
        <n v="10260"/>
        <n v="10233"/>
        <n v="10229"/>
        <n v="10169"/>
        <n v="10071"/>
        <n v="10179"/>
        <n v="10091"/>
        <n v="10178"/>
        <n v="10039"/>
        <n v="10095"/>
        <n v="10027"/>
        <n v="10291"/>
        <n v="10153"/>
        <n v="10157"/>
        <n v="10119"/>
        <n v="10180"/>
        <n v="10302"/>
        <n v="10090"/>
        <n v="10030"/>
        <n v="10278"/>
        <n v="10307"/>
        <n v="10147"/>
        <n v="10266"/>
        <n v="10241"/>
        <n v="10158"/>
        <n v="10117"/>
        <n v="10209"/>
        <n v="10024"/>
        <n v="10173"/>
        <n v="10221"/>
        <n v="10146"/>
        <n v="10161"/>
        <n v="10141"/>
        <n v="10268"/>
        <n v="10123"/>
        <n v="10013"/>
        <n v="10287"/>
        <n v="10044"/>
        <n v="10102"/>
        <n v="10270"/>
        <n v="10045"/>
        <n v="10205"/>
        <n v="10014"/>
        <n v="10144"/>
        <n v="10253"/>
        <n v="10118"/>
        <n v="10022"/>
        <n v="10183"/>
        <n v="10190"/>
        <n v="10274"/>
        <n v="10293"/>
        <n v="10172"/>
        <n v="10127"/>
        <n v="10072"/>
        <n v="10048"/>
        <n v="10204"/>
        <n v="10264"/>
        <n v="10033"/>
        <n v="10174"/>
        <n v="10135"/>
        <n v="10301"/>
        <n v="10010"/>
        <n v="10043"/>
        <n v="10271"/>
      </sharedItems>
    </cacheField>
    <cacheField name="Salary" numFmtId="6">
      <sharedItems containsSemiMixedTypes="0" containsString="0" containsNumber="1" containsInteger="1" minValue="45046" maxValue="250000"/>
    </cacheField>
    <cacheField name="Position" numFmtId="0">
      <sharedItems/>
    </cacheField>
    <cacheField name="State" numFmtId="0">
      <sharedItems/>
    </cacheField>
    <cacheField name="Zip" numFmtId="1">
      <sharedItems containsSemiMixedTypes="0" containsString="0" containsNumber="1" containsInteger="1" minValue="1013" maxValue="98052"/>
    </cacheField>
    <cacheField name="DOB" numFmtId="164">
      <sharedItems containsSemiMixedTypes="0" containsNonDate="0" containsDate="1" containsString="0" minDate="1951-01-02T00:00:00" maxDate="1992-08-18T00:00:00"/>
    </cacheField>
    <cacheField name="Gender" numFmtId="0">
      <sharedItems count="2">
        <s v="M "/>
        <s v="F"/>
      </sharedItems>
    </cacheField>
    <cacheField name="Marital Desc" numFmtId="0">
      <sharedItems/>
    </cacheField>
    <cacheField name="Race Desc" numFmtId="0">
      <sharedItems count="6">
        <s v="White"/>
        <s v="Black or African American"/>
        <s v="Two or more races"/>
        <s v="Asian"/>
        <s v="American Indian or Alaska Native"/>
        <s v="Hispanic"/>
      </sharedItems>
    </cacheField>
    <cacheField name="Date of Hire" numFmtId="164">
      <sharedItems containsSemiMixedTypes="0" containsNonDate="0" containsDate="1" containsString="0" minDate="2011-07-05T00:00:00" maxDate="2012-05-11T00:00:00" count="311">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sharedItems>
      <fieldGroup par="27" base="10">
        <rangePr groupBy="months" startDate="2011-07-05T00:00:00" endDate="2012-05-11T00:00:00"/>
        <groupItems count="14">
          <s v="&lt;7/5/2011"/>
          <s v="Jan"/>
          <s v="Feb"/>
          <s v="Mar"/>
          <s v="Apr"/>
          <s v="May"/>
          <s v="Jun"/>
          <s v="Jul"/>
          <s v="Aug"/>
          <s v="Sep"/>
          <s v="Oct"/>
          <s v="Nov"/>
          <s v="Dec"/>
          <s v="&gt;5/11/2012"/>
        </groupItems>
      </fieldGroup>
    </cacheField>
    <cacheField name="Age at Hire" numFmtId="1">
      <sharedItems containsSemiMixedTypes="0" containsString="0" containsNumber="1" containsInteger="1" minValue="19" maxValue="60"/>
    </cacheField>
    <cacheField name="Date of Termination" numFmtId="164">
      <sharedItems containsNonDate="0" containsDate="1" containsString="0" containsBlank="1" minDate="2010-08-30T00:00:00" maxDate="2018-11-11T00:00:00"/>
    </cacheField>
    <cacheField name="Tenure" numFmtId="1">
      <sharedItems containsMixedTypes="1" containsNumber="1" containsInteger="1" minValue="0" maxValue="7"/>
    </cacheField>
    <cacheField name="Term/Reason" numFmtId="0">
      <sharedItems/>
    </cacheField>
    <cacheField name="Column1" numFmtId="0">
      <sharedItems/>
    </cacheField>
    <cacheField name="Department" numFmtId="0">
      <sharedItems count="6">
        <s v="Production       "/>
        <s v="IT/IS"/>
        <s v="Software Engineering"/>
        <s v="Admin Offices"/>
        <s v="Sales"/>
        <s v="Executive Office"/>
      </sharedItems>
    </cacheField>
    <cacheField name="Manager 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cacheField>
    <cacheField name="Recruitment Source" numFmtId="0">
      <sharedItems count="9">
        <s v="LinkedIn"/>
        <s v="Indeed"/>
        <s v="Google Search"/>
        <s v="Employee Referral"/>
        <s v="Diversity Job Fair"/>
        <s v="On-line Web application"/>
        <s v="CareerBuilder"/>
        <s v="Website"/>
        <s v="Other"/>
      </sharedItems>
    </cacheField>
    <cacheField name="Performance Score" numFmtId="0">
      <sharedItems/>
    </cacheField>
    <cacheField name="Engagement Survey" numFmtId="165">
      <sharedItems containsSemiMixedTypes="0" containsString="0" containsNumber="1" minValue="1.1200000000000001" maxValue="5"/>
    </cacheField>
    <cacheField name="Emp Satisfaction" numFmtId="1">
      <sharedItems containsSemiMixedTypes="0" containsString="0" containsNumber="1" containsInteger="1" minValue="1" maxValue="5"/>
    </cacheField>
    <cacheField name="Special Projects Count" numFmtId="1">
      <sharedItems containsSemiMixedTypes="0" containsString="0" containsNumber="1" containsInteger="1" minValue="0" maxValue="8"/>
    </cacheField>
    <cacheField name="Last Performance Review Date" numFmtId="164">
      <sharedItems containsSemiMixedTypes="0" containsNonDate="0" containsDate="1" containsString="0" minDate="2010-07-14T00:00:00" maxDate="2019-12-03T00:00:00" count="137">
        <d v="2019-01-17T00:00:00"/>
        <d v="2016-02-24T00:00:00"/>
        <d v="2012-05-15T00:00:00"/>
        <d v="2019-03-01T00:00:00"/>
        <d v="2016-01-02T00:00:00"/>
        <d v="2019-07-01T00:00:00"/>
        <d v="2019-02-01T00:00:00"/>
        <d v="2019-02-25T00:00:00"/>
        <d v="2019-01-25T00:00:00"/>
        <d v="2019-02-18T00:00:00"/>
        <d v="2016-01-30T00:00:00"/>
        <d v="2016-06-05T00:00:00"/>
        <d v="2019-02-14T00:00:00"/>
        <d v="2017-02-03T00:00:00"/>
        <d v="2017-05-04T00:00:00"/>
        <d v="2019-01-14T00:00:00"/>
        <d v="2015-01-15T00:00:00"/>
        <d v="2019-11-01T00:00:00"/>
        <d v="2019-10-01T00:00:00"/>
        <d v="2019-02-27T00:00:00"/>
        <d v="2014-04-03T00:00:00"/>
        <d v="2016-10-01T00:00:00"/>
        <d v="2014-02-20T00:00:00"/>
        <d v="2013-04-03T00:00:00"/>
        <d v="2019-01-15T00:00:00"/>
        <d v="2019-01-02T00:00:00"/>
        <d v="2019-01-21T00:00:00"/>
        <d v="2013-10-02T00:00:00"/>
        <d v="2019-02-21T00:00:00"/>
        <d v="2019-02-22T00:00:00"/>
        <d v="2019-01-30T00:00:00"/>
        <d v="2019-12-02T00:00:00"/>
        <d v="2019-02-19T00:00:00"/>
        <d v="2019-01-19T00:00:00"/>
        <d v="2015-10-03T00:00:00"/>
        <d v="2012-03-05T00:00:00"/>
        <d v="2011-04-05T00:00:00"/>
        <d v="2019-02-28T00:00:00"/>
        <d v="2016-01-05T00:00:00"/>
        <d v="2019-04-02T00:00:00"/>
        <d v="2019-01-22T00:00:00"/>
        <d v="2019-01-28T00:00:00"/>
        <d v="2019-01-24T00:00:00"/>
        <d v="2019-01-31T00:00:00"/>
        <d v="2016-02-04T00:00:00"/>
        <d v="2015-06-05T00:00:00"/>
        <d v="2019-01-23T00:00:00"/>
        <d v="2019-01-29T00:00:00"/>
        <d v="2019-01-18T00:00:00"/>
        <d v="2019-04-01T00:00:00"/>
        <d v="2019-01-27T00:00:00"/>
        <d v="2017-09-04T00:00:00"/>
        <d v="2019-02-13T00:00:00"/>
        <d v="2018-12-04T00:00:00"/>
        <d v="2017-01-15T00:00:00"/>
        <d v="2012-10-08T00:00:00"/>
        <d v="2016-04-02T00:00:00"/>
        <d v="2013-05-04T00:00:00"/>
        <d v="2012-07-01T00:00:00"/>
        <d v="2019-08-02T00:00:00"/>
        <d v="2019-02-26T00:00:00"/>
        <d v="2019-01-16T00:00:00"/>
        <d v="2016-04-29T00:00:00"/>
        <d v="2014-01-15T00:00:00"/>
        <d v="2015-01-20T00:00:00"/>
        <d v="2019-07-02T00:00:00"/>
        <d v="2011-06-03T00:00:00"/>
        <d v="2019-02-15T00:00:00"/>
        <d v="2013-03-06T00:00:00"/>
        <d v="2013-01-02T00:00:00"/>
        <d v="2019-08-01T00:00:00"/>
        <d v="2015-02-05T00:00:00"/>
        <d v="2019-11-02T00:00:00"/>
        <d v="2013-01-30T00:00:00"/>
        <d v="2012-05-03T00:00:00"/>
        <d v="2015-04-15T00:00:00"/>
        <d v="2012-12-04T00:00:00"/>
        <d v="2018-02-14T00:00:00"/>
        <d v="2016-03-02T00:00:00"/>
        <d v="2013-03-30T00:00:00"/>
        <d v="2015-01-03T00:00:00"/>
        <d v="2019-06-02T00:00:00"/>
        <d v="2015-02-15T00:00:00"/>
        <d v="2013-02-20T00:00:00"/>
        <d v="2017-02-07T00:00:00"/>
        <d v="2018-02-03T00:00:00"/>
        <d v="2016-10-06T00:00:00"/>
        <d v="2015-02-02T00:00:00"/>
        <d v="2017-01-04T00:00:00"/>
        <d v="2012-02-07T00:00:00"/>
        <d v="2016-05-02T00:00:00"/>
        <d v="2013-01-14T00:00:00"/>
        <d v="2013-02-03T00:00:00"/>
        <d v="2016-06-03T00:00:00"/>
        <d v="2018-09-03T00:00:00"/>
        <d v="2013-02-07T00:00:00"/>
        <d v="2015-08-16T00:00:00"/>
        <d v="2016-01-16T00:00:00"/>
        <d v="2017-06-04T00:00:00"/>
        <d v="2015-06-02T00:00:00"/>
        <d v="2014-05-13T00:00:00"/>
        <d v="2013-10-01T00:00:00"/>
        <d v="2015-05-03T00:00:00"/>
        <d v="2012-02-20T00:00:00"/>
        <d v="2018-02-04T00:00:00"/>
        <d v="2013-02-04T00:00:00"/>
        <d v="2014-04-19T00:00:00"/>
        <d v="2018-04-02T00:00:00"/>
        <d v="2015-03-30T00:00:00"/>
        <d v="2011-10-22T00:00:00"/>
        <d v="2012-06-01T00:00:00"/>
        <d v="2015-10-01T00:00:00"/>
        <d v="2016-05-04T00:00:00"/>
        <d v="2018-02-13T00:00:00"/>
        <d v="2018-02-07T00:00:00"/>
        <d v="2015-04-01T00:00:00"/>
        <d v="2018-05-02T00:00:00"/>
        <d v="2015-04-20T00:00:00"/>
        <d v="2015-02-04T00:00:00"/>
        <d v="2013-08-15T00:00:00"/>
        <d v="2015-02-03T00:00:00"/>
        <d v="2012-02-15T00:00:00"/>
        <d v="2017-04-18T00:00:00"/>
        <d v="2016-02-03T00:00:00"/>
        <d v="2010-07-14T00:00:00"/>
        <d v="2017-12-02T00:00:00"/>
        <d v="2014-05-01T00:00:00"/>
        <d v="2017-02-15T00:00:00"/>
        <d v="2015-01-02T00:00:00"/>
        <d v="2012-02-01T00:00:00"/>
        <d v="2014-05-09T00:00:00"/>
        <d v="2019-05-02T00:00:00"/>
        <d v="2014-05-15T00:00:00"/>
        <d v="2011-06-02T00:00:00"/>
        <d v="2014-02-06T00:00:00"/>
        <d v="2016-01-19T00:00:00"/>
        <d v="2015-02-09T00:00:00"/>
      </sharedItems>
      <fieldGroup par="29" base="23">
        <rangePr groupBy="months" startDate="2010-07-14T00:00:00" endDate="2019-12-03T00:00:00"/>
        <groupItems count="14">
          <s v="&lt;7/14/2010"/>
          <s v="Jan"/>
          <s v="Feb"/>
          <s v="Mar"/>
          <s v="Apr"/>
          <s v="May"/>
          <s v="Jun"/>
          <s v="Jul"/>
          <s v="Aug"/>
          <s v="Sep"/>
          <s v="Oct"/>
          <s v="Nov"/>
          <s v="Dec"/>
          <s v="&gt;12/3/2019"/>
        </groupItems>
      </fieldGroup>
    </cacheField>
    <cacheField name="Days Late Last 30Days" numFmtId="1">
      <sharedItems containsMixedTypes="1" containsNumber="1" containsInteger="1" minValue="0" maxValue="6"/>
    </cacheField>
    <cacheField name="Days Absent" numFmtId="1">
      <sharedItems containsSemiMixedTypes="0" containsString="0" containsNumber="1" containsInteger="1" minValue="1" maxValue="20"/>
    </cacheField>
    <cacheField name="Quarters" numFmtId="0" databaseField="0">
      <fieldGroup base="10">
        <rangePr groupBy="quarters" startDate="2011-07-05T00:00:00" endDate="2012-05-11T00:00:00"/>
        <groupItems count="6">
          <s v="&lt;7/5/2011"/>
          <s v="Qtr1"/>
          <s v="Qtr2"/>
          <s v="Qtr3"/>
          <s v="Qtr4"/>
          <s v="&gt;5/11/2012"/>
        </groupItems>
      </fieldGroup>
    </cacheField>
    <cacheField name="Years" numFmtId="0" databaseField="0">
      <fieldGroup base="10">
        <rangePr groupBy="years" startDate="2011-07-05T00:00:00" endDate="2012-05-11T00:00:00"/>
        <groupItems count="4">
          <s v="&lt;7/5/2011"/>
          <s v="2011"/>
          <s v="2012"/>
          <s v="&gt;5/11/2012"/>
        </groupItems>
      </fieldGroup>
    </cacheField>
    <cacheField name="Quarters2" numFmtId="0" databaseField="0">
      <fieldGroup base="23">
        <rangePr groupBy="quarters" startDate="2010-07-14T00:00:00" endDate="2019-12-03T00:00:00"/>
        <groupItems count="6">
          <s v="&lt;7/14/2010"/>
          <s v="Qtr1"/>
          <s v="Qtr2"/>
          <s v="Qtr3"/>
          <s v="Qtr4"/>
          <s v="&gt;12/3/2019"/>
        </groupItems>
      </fieldGroup>
    </cacheField>
    <cacheField name="Years2" numFmtId="0" databaseField="0">
      <fieldGroup base="23">
        <rangePr groupBy="years" startDate="2010-07-14T00:00:00" endDate="2019-12-03T00:00:00"/>
        <groupItems count="12">
          <s v="&lt;7/14/2010"/>
          <s v="2010"/>
          <s v="2011"/>
          <s v="2012"/>
          <s v="2013"/>
          <s v="2014"/>
          <s v="2015"/>
          <s v="2016"/>
          <s v="2017"/>
          <s v="2018"/>
          <s v="2019"/>
          <s v="&gt;12/3/2019"/>
        </groupItems>
      </fieldGroup>
    </cacheField>
  </cacheFields>
  <extLst>
    <ext xmlns:x14="http://schemas.microsoft.com/office/spreadsheetml/2009/9/main" uri="{725AE2AE-9491-48be-B2B4-4EB974FC3084}">
      <x14:pivotCacheDefinition pivotCacheId="11209284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eecah" refreshedDate="45975.48797534722" createdVersion="7" refreshedVersion="7" minRefreshableVersion="3" recordCount="311" xr:uid="{6708048A-326E-4F42-B59F-A147239CECC9}">
  <cacheSource type="worksheet">
    <worksheetSource name="HR_Data"/>
  </cacheSource>
  <cacheFields count="30">
    <cacheField name="Employee_Name" numFmtId="0">
      <sharedItems count="311">
        <s v="Adinolfi, Wilson  K"/>
        <s v="Ait Sidi, Karthikeyan   "/>
        <s v="Akinkuolie, Sarah"/>
        <s v="Alagbe,Trina"/>
        <s v="Anderson, Carol "/>
        <s v="Anderson, Linda  "/>
        <s v="Andreola, Colby"/>
        <s v="Athwal, Sam"/>
        <s v="Bachiochi, Linda"/>
        <s v="Bacong, Alejandro "/>
        <s v="Baczenski, Rachael  "/>
        <s v="Barbara, Thomas"/>
        <s v="Barbossa, Hector"/>
        <s v="Barone, Francesco  A"/>
        <s v="Barton, Nader"/>
        <s v="Bates, Norman"/>
        <s v="Beak, Kimberly  "/>
        <s v="Beatrice, Courtney "/>
        <s v="Becker, Renee"/>
        <s v="Becker, Scott"/>
        <s v="Bernstein, Sean"/>
        <s v="Biden, Lowan  M"/>
        <s v="Billis, Helen"/>
        <s v="Blount, Dianna"/>
        <s v="Bondwell, Betsy"/>
        <s v="Booth, Frank"/>
        <s v="Boutwell, Bonalyn"/>
        <s v="Bozzi, Charles"/>
        <s v="Brill, Donna"/>
        <s v="Brown, Mia"/>
        <s v="Buccheri, Joseph  "/>
        <s v="Bugali, Josephine "/>
        <s v="Bunbury, Jessica"/>
        <s v="Burke, Joelle"/>
        <s v="Burkett, Benjamin "/>
        <s v="Cady, Max "/>
        <s v="Candie, Calvin"/>
        <s v="Carabbio, Judith"/>
        <s v="Carey, Michael  "/>
        <s v="Carr, Claudia  N"/>
        <s v="Carter, Michelle "/>
        <s v="Chace, Beatrice "/>
        <s v="Champaigne, Brian"/>
        <s v="Chan, Lin"/>
        <s v="Chang, Donovan  E"/>
        <s v="Chigurh, Anton"/>
        <s v="Chivukula, Enola"/>
        <s v="Cierpiszewski, Caroline  "/>
        <s v="Clayton, Rick"/>
        <s v="Cloninger, Jennifer"/>
        <s v="Close, Phil"/>
        <s v="Clukey, Elijian"/>
        <s v="Cockel, James"/>
        <s v="Cole, Spencer"/>
        <s v="Corleone, Michael"/>
        <s v="Corleone, Vito"/>
        <s v="Cornett, Lisa "/>
        <s v="Costello, Frank"/>
        <s v="Crimmings,   Jean"/>
        <s v="Cross, Noah"/>
        <s v="Daneault, Lynn"/>
        <s v="Daniele, Ann  "/>
        <s v="Darson, Jene'ya "/>
        <s v="Davis, Daniel"/>
        <s v="Dee, Randy"/>
        <s v="DeGweck,  James"/>
        <s v="Del Bosque, Keyla"/>
        <s v="Delarge, Alex"/>
        <s v="Demita, Carla"/>
        <s v="Desimone, Carl "/>
        <s v="DeVito, Tommy"/>
        <s v="Dickinson, Geoff "/>
        <s v="Dietrich, Jenna  "/>
        <s v="DiNocco, Lily "/>
        <s v="Dobrin, Denisa  S"/>
        <s v="Dolan, Linda"/>
        <s v="Dougall, Eric"/>
        <s v="Driver, Elle"/>
        <s v="Dunn, Amy  "/>
        <s v="Dunne, Amy"/>
        <s v="Eaton, Marianne"/>
        <s v="Engdahl, Jean"/>
        <s v="England, Rex"/>
        <s v="Erilus, Angela"/>
        <s v="Estremera, Miguel"/>
        <s v="Evensen, April"/>
        <s v="Exantus, Susan"/>
        <s v="Faller, Megan "/>
        <s v="Fancett, Nicole"/>
        <s v="Ferguson, Susan"/>
        <s v="Fernandes, Nilson  "/>
        <s v="Fett, Boba"/>
        <s v="Fidelia,  Libby"/>
        <s v="Fitzpatrick, Michael  J"/>
        <s v="Foreman, Tanya"/>
        <s v="Forrest, Alex"/>
        <s v="Foss, Jason"/>
        <s v="Foster-Baker, Amy"/>
        <s v="Fraval, Maruk "/>
        <s v="Galia, Lisa"/>
        <s v="Garcia, Raul"/>
        <s v="Gaul, Barbara"/>
        <s v="Gentry, Mildred"/>
        <s v="Gerke, Melisa"/>
        <s v="Gill, Whitney  "/>
        <s v="Gilles, Alex"/>
        <s v="Girifalco, Evelyn"/>
        <s v="Givens, Myriam"/>
        <s v="Goble, Taisha"/>
        <s v="Goeth, Amon"/>
        <s v="Gold, Shenice  "/>
        <s v="Gonzalez, Cayo"/>
        <s v="Gonzalez, Juan"/>
        <s v="Gonzalez, Maria"/>
        <s v="Good, Susan"/>
        <s v="Gordon, David"/>
        <s v="Gosciminski, Phylicia  "/>
        <s v="Goyal, Roxana"/>
        <s v="Gray, Elijiah  "/>
        <s v="Gross, Paula"/>
        <s v="Gruber, Hans"/>
        <s v="Guilianno, Mike"/>
        <s v="Handschiegl, Joanne"/>
        <s v="Hankard, Earnest"/>
        <s v="Harrington, Christie "/>
        <s v="Harrison, Kara"/>
        <s v="Heitzman, Anthony"/>
        <s v="Hendrickson, Trina"/>
        <s v="Hitchcock, Alfred"/>
        <s v="Homberger, Adrienne  J"/>
        <s v="Horton, Jayne"/>
        <s v="Houlihan, Debra"/>
        <s v="Howard, Estelle"/>
        <s v="Hudson, Jane"/>
        <s v="Hunts, Julissa"/>
        <s v="Hutter, Rosalie"/>
        <s v="Huynh, Ming"/>
        <s v="Immediato, Walter"/>
        <s v="Ivey, Rose "/>
        <s v="Jackson, Maryellen"/>
        <s v="Jacobi, Hannah  "/>
        <s v="Jeannite, Tayana"/>
        <s v="Jhaveri, Sneha  "/>
        <s v="Johnson, George"/>
        <s v="Johnson, Noelle "/>
        <s v="Johnston, Yen"/>
        <s v="Jung, Judy  "/>
        <s v="Kampew, Donysha"/>
        <s v="Keatts, Kramer "/>
        <s v="Khemmich, Bartholemew"/>
        <s v="King, Janet"/>
        <s v="Kinsella, Kathleen  "/>
        <s v="Kirill, Alexandra  "/>
        <s v="Knapp, Bradley  J"/>
        <s v="Kretschmer, John"/>
        <s v="Kreuger, Freddy"/>
        <s v="Lajiri,  Jyoti"/>
        <s v="Landa, Hans"/>
        <s v="Langford, Lindsey"/>
        <s v="Langton, Enrico"/>
        <s v="LaRotonda, William  "/>
        <s v="Latif, Mohammed"/>
        <s v="Le, Binh"/>
        <s v="Leach, Dallas"/>
        <s v="LeBlanc, Brandon  R"/>
        <s v="Lecter, Hannibal"/>
        <s v="Leruth, Giovanni"/>
        <s v="Liebig, Ketsia"/>
        <s v="Linares, Marilyn "/>
        <s v="Linden, Mathew"/>
        <s v="Lindsay, Leonara "/>
        <s v="Lundy, Susan"/>
        <s v="Lunquist, Lisa"/>
        <s v="Lydon, Allison"/>
        <s v="Lynch, Lindsay"/>
        <s v="MacLennan, Samuel"/>
        <s v="Mahoney, Lauren  "/>
        <s v="Manchester, Robyn"/>
        <s v="Mancuso, Karen"/>
        <s v="Mangal, Debbie"/>
        <s v="Martin, Sandra"/>
        <s v="Maurice, Shana"/>
        <s v="Carthy, B'rigit"/>
        <s v="Mckenna, Sandy"/>
        <s v="McKinzie, Jac"/>
        <s v="Meads, Elizabeth"/>
        <s v="Medeiros, Jennifer"/>
        <s v="Miller, Brannon"/>
        <s v="Miller, Ned"/>
        <s v="Monkfish, Erasumus"/>
        <s v="Monroe, Peter"/>
        <s v="Monterro, Luisa"/>
        <s v="Moran, Patrick"/>
        <s v="Morway, Tanya"/>
        <s v="Motlagh,  Dawn"/>
        <s v="Moumanil, Maliki "/>
        <s v="Myers, Michael"/>
        <s v="Navathe, Kurt"/>
        <s v="Ndzi, Colombui"/>
        <s v="Ndzi, Horia"/>
        <s v="Newman, Richard "/>
        <s v="Ngodup, Shari "/>
        <s v="Nguyen, Dheepa"/>
        <s v="Nguyen, Lei-Ming"/>
        <s v="Nowlan, Kristie"/>
        <s v="O'hare, Lynn"/>
        <s v="Oliver, Brooke "/>
        <s v="Onque, Jasmine"/>
        <s v="Osturnka, Adeel"/>
        <s v="Owad, Clinton"/>
        <s v="Ozark, Travis"/>
        <s v="Panjwani, Nina"/>
        <s v="Patronick, Lucas"/>
        <s v="Pearson, Randall"/>
        <s v="Smith, Martin"/>
        <s v="Pelletier, Ermine"/>
        <s v="Perry, Shakira"/>
        <s v="Peters, Lauren"/>
        <s v="Peterson, Ebonee  "/>
        <s v="Petingill, Shana  "/>
        <s v="Petrowsky, Thelma"/>
        <s v="Pham, Hong"/>
        <s v="Pitt, Brad "/>
        <s v="Potts, Xana"/>
        <s v="Power, Morissa"/>
        <s v="Punjabhi, Louis  "/>
        <s v="Purinton, Janine"/>
        <s v="Quinn, Sean"/>
        <s v="Rachael, Maggie"/>
        <s v="Rarrick, Quinn"/>
        <s v="Ren, Kylo"/>
        <s v="Rhoads, Thomas"/>
        <s v="Rivera, Haley  "/>
        <s v="Roberson, May"/>
        <s v="Robertson, Peter"/>
        <s v="Robinson, Alain  "/>
        <s v="Robinson, Cherly"/>
        <s v="Robinson, Elias"/>
        <s v="Roby, Lori "/>
        <s v="Roehrich, Bianca"/>
        <s v="Roper, Katie"/>
        <s v="Rose, Ashley  "/>
        <s v="Rossetti, Bruno"/>
        <s v="Roup,Simon"/>
        <s v="Ruiz, Ricardo"/>
        <s v="Saada, Adell"/>
        <s v="Saar-Beckles, Melinda"/>
        <s v="Sadki, Nore  "/>
        <s v="Sahoo, Adil"/>
        <s v="Salter, Jason"/>
        <s v="Sander, Kamrin"/>
        <s v="Sewkumar, Nori"/>
        <s v="Shepard, Anita "/>
        <s v="Shields, Seffi"/>
        <s v="Simard, Kramer"/>
        <s v="Singh, Nan "/>
        <s v="Sloan, Constance"/>
        <s v="Smith, Joe"/>
        <s v="Smith, John"/>
        <s v="Smith, Leigh Ann"/>
        <s v="Smith, Sade"/>
        <s v="Soto, Julia "/>
        <s v="Soze, Keyser"/>
        <s v="Sparks, Taylor  "/>
        <s v="Spirea, Kelley"/>
        <s v="Squatrito, Kristen"/>
        <s v="Stanford,Barbara  M"/>
        <s v="Stansfield, Norman"/>
        <s v="Steans, Tyrone  "/>
        <s v="Stoica, Rick"/>
        <s v="Strong, Caitrin"/>
        <s v="Sullivan, Kissy "/>
        <s v="Sullivan, Timothy"/>
        <s v="Sutwell, Barbara"/>
        <s v="Szabo, Andrew"/>
        <s v="Tannen, Biff"/>
        <s v="Tavares, Desiree  "/>
        <s v="Tejeda, Lenora "/>
        <s v="Terry, Sharlene "/>
        <s v="Theamstern, Sophia"/>
        <s v="Thibaud, Kenneth"/>
        <s v="Tippett, Jeanette"/>
        <s v="Torrence, Jack"/>
        <s v="Trang, Mei"/>
        <s v="Tredinnick, Neville "/>
        <s v="True, Edward"/>
        <s v="Trzeciak, Cybil"/>
        <s v="Turpin, Jumil"/>
        <s v="Valentin,Jackie"/>
        <s v="Veera, Abdellah "/>
        <s v="Vega, Vincent"/>
        <s v="Villanueva, Noah"/>
        <s v="Voldemort, Lord"/>
        <s v="Volk, Colleen"/>
        <s v="Von Massenbach, Anna"/>
        <s v="Walker, Roger"/>
        <s v="Wallace, Courtney  E"/>
        <s v="Wallace, Theresa"/>
        <s v="Wang, Charlie"/>
        <s v="Warfield, Sarah"/>
        <s v="Whittier, Scott"/>
        <s v="Wilber, Barry"/>
        <s v="Wilkes, Annie"/>
        <s v="Williams, Jacquelyn  "/>
        <s v="Winthrop, Jordan  "/>
        <s v="Wolk, Hang  T"/>
        <s v="Woodson, Jason"/>
        <s v="Ybarra, Catherine "/>
        <s v="Zamora, Jennifer"/>
        <s v="Zhou, Julia"/>
        <s v="Zima, Colleen"/>
      </sharedItems>
    </cacheField>
    <cacheField name="Employee ID" numFmtId="1">
      <sharedItems containsSemiMixedTypes="0" containsString="0" containsNumber="1" containsInteger="1" minValue="10001" maxValue="10311" count="311">
        <n v="10026"/>
        <n v="10084"/>
        <n v="10196"/>
        <n v="10088"/>
        <n v="10069"/>
        <n v="10002"/>
        <n v="10194"/>
        <n v="10062"/>
        <n v="10114"/>
        <n v="10250"/>
        <n v="10252"/>
        <n v="10242"/>
        <n v="10012"/>
        <n v="10265"/>
        <n v="10066"/>
        <n v="10061"/>
        <n v="10023"/>
        <n v="10055"/>
        <n v="10245"/>
        <n v="10277"/>
        <n v="10046"/>
        <n v="10226"/>
        <n v="10003"/>
        <n v="10294"/>
        <n v="10267"/>
        <n v="10199"/>
        <n v="10081"/>
        <n v="10175"/>
        <n v="10177"/>
        <n v="10238"/>
        <n v="10184"/>
        <n v="10203"/>
        <n v="10188"/>
        <n v="10107"/>
        <n v="10181"/>
        <n v="10150"/>
        <n v="10001"/>
        <n v="10085"/>
        <n v="10115"/>
        <n v="10082"/>
        <n v="10040"/>
        <n v="10067"/>
        <n v="10108"/>
        <n v="10210"/>
        <n v="10154"/>
        <n v="10200"/>
        <n v="10240"/>
        <n v="10168"/>
        <n v="10220"/>
        <n v="10275"/>
        <n v="10269"/>
        <n v="10029"/>
        <n v="10261"/>
        <n v="10292"/>
        <n v="10282"/>
        <n v="10019"/>
        <n v="10094"/>
        <n v="10193"/>
        <n v="10132"/>
        <n v="10083"/>
        <n v="10099"/>
        <n v="10212"/>
        <n v="10056"/>
        <n v="10143"/>
        <n v="10311"/>
        <n v="10070"/>
        <n v="10155"/>
        <n v="10306"/>
        <n v="10100"/>
        <n v="10310"/>
        <n v="10197"/>
        <n v="10276"/>
        <n v="10304"/>
        <n v="10284"/>
        <n v="10207"/>
        <n v="10133"/>
        <n v="10028"/>
        <n v="10006"/>
        <n v="10105"/>
        <n v="10211"/>
        <n v="10064"/>
        <n v="10247"/>
        <n v="10235"/>
        <n v="10299"/>
        <n v="10280"/>
        <n v="10296"/>
        <n v="10290"/>
        <n v="10263"/>
        <n v="10136"/>
        <n v="10189"/>
        <n v="10308"/>
        <n v="10309"/>
        <n v="10049"/>
        <n v="10093"/>
        <n v="10163"/>
        <n v="10305"/>
        <n v="10015"/>
        <n v="10080"/>
        <n v="10258"/>
        <n v="10273"/>
        <n v="10111"/>
        <n v="10257"/>
        <n v="10159"/>
        <n v="10122"/>
        <n v="10142"/>
        <n v="10283"/>
        <n v="10018"/>
        <n v="10255"/>
        <n v="10246"/>
        <n v="10228"/>
        <n v="10243"/>
        <n v="10031"/>
        <n v="10300"/>
        <n v="10101"/>
        <n v="10237"/>
        <n v="10051"/>
        <n v="10218"/>
        <n v="10256"/>
        <n v="10098"/>
        <n v="10059"/>
        <n v="10234"/>
        <n v="10109"/>
        <n v="10125"/>
        <n v="10074"/>
        <n v="10097"/>
        <n v="10007"/>
        <n v="10129"/>
        <n v="10075"/>
        <n v="10167"/>
        <n v="10195"/>
        <n v="10112"/>
        <n v="10272"/>
        <n v="10182"/>
        <n v="10248"/>
        <n v="10201"/>
        <n v="10214"/>
        <n v="10160"/>
        <n v="10289"/>
        <n v="10139"/>
        <n v="10227"/>
        <n v="10236"/>
        <n v="10009"/>
        <n v="10060"/>
        <n v="10034"/>
        <n v="10156"/>
        <n v="10036"/>
        <n v="10138"/>
        <n v="10244"/>
        <n v="10192"/>
        <n v="10231"/>
        <n v="10089"/>
        <n v="10166"/>
        <n v="10170"/>
        <n v="10208"/>
        <n v="10176"/>
        <n v="10165"/>
        <n v="10113"/>
        <n v="10092"/>
        <n v="10106"/>
        <n v="10052"/>
        <n v="10038"/>
        <n v="10249"/>
        <n v="10232"/>
        <n v="10087"/>
        <n v="10134"/>
        <n v="10251"/>
        <n v="10103"/>
        <n v="10017"/>
        <n v="10186"/>
        <n v="10137"/>
        <n v="10008"/>
        <n v="10096"/>
        <n v="10035"/>
        <n v="10057"/>
        <n v="10004"/>
        <n v="10191"/>
        <n v="10219"/>
        <n v="10077"/>
        <n v="10073"/>
        <n v="10279"/>
        <n v="10110"/>
        <n v="10053"/>
        <n v="10076"/>
        <n v="10145"/>
        <n v="10202"/>
        <n v="10128"/>
        <n v="10068"/>
        <n v="10116"/>
        <n v="10298"/>
        <n v="10213"/>
        <n v="10288"/>
        <n v="10025"/>
        <n v="10223"/>
        <n v="10151"/>
        <n v="10254"/>
        <n v="10120"/>
        <n v="10216"/>
        <n v="10079"/>
        <n v="10215"/>
        <n v="10185"/>
        <n v="10063"/>
        <n v="10037"/>
        <n v="10042"/>
        <n v="10206"/>
        <n v="10104"/>
        <n v="10303"/>
        <n v="10078"/>
        <n v="10121"/>
        <n v="10021"/>
        <n v="10281"/>
        <n v="10041"/>
        <n v="10148"/>
        <n v="10005"/>
        <n v="10259"/>
        <n v="10286"/>
        <n v="10297"/>
        <n v="10171"/>
        <n v="10032"/>
        <n v="10130"/>
        <n v="10217"/>
        <n v="10016"/>
        <n v="10050"/>
        <n v="10164"/>
        <n v="10124"/>
        <n v="10187"/>
        <n v="10225"/>
        <n v="10262"/>
        <n v="10131"/>
        <n v="10239"/>
        <n v="10152"/>
        <n v="10140"/>
        <n v="10058"/>
        <n v="10011"/>
        <n v="10230"/>
        <n v="10224"/>
        <n v="10047"/>
        <n v="10285"/>
        <n v="10020"/>
        <n v="10162"/>
        <n v="10149"/>
        <n v="10086"/>
        <n v="10054"/>
        <n v="10065"/>
        <n v="10198"/>
        <n v="10222"/>
        <n v="10126"/>
        <n v="10295"/>
        <n v="10260"/>
        <n v="10233"/>
        <n v="10229"/>
        <n v="10169"/>
        <n v="10071"/>
        <n v="10179"/>
        <n v="10091"/>
        <n v="10178"/>
        <n v="10039"/>
        <n v="10095"/>
        <n v="10027"/>
        <n v="10291"/>
        <n v="10153"/>
        <n v="10157"/>
        <n v="10119"/>
        <n v="10180"/>
        <n v="10302"/>
        <n v="10090"/>
        <n v="10030"/>
        <n v="10278"/>
        <n v="10307"/>
        <n v="10147"/>
        <n v="10266"/>
        <n v="10241"/>
        <n v="10158"/>
        <n v="10117"/>
        <n v="10209"/>
        <n v="10024"/>
        <n v="10173"/>
        <n v="10221"/>
        <n v="10146"/>
        <n v="10161"/>
        <n v="10141"/>
        <n v="10268"/>
        <n v="10123"/>
        <n v="10013"/>
        <n v="10287"/>
        <n v="10044"/>
        <n v="10102"/>
        <n v="10270"/>
        <n v="10045"/>
        <n v="10205"/>
        <n v="10014"/>
        <n v="10144"/>
        <n v="10253"/>
        <n v="10118"/>
        <n v="10022"/>
        <n v="10183"/>
        <n v="10190"/>
        <n v="10274"/>
        <n v="10293"/>
        <n v="10172"/>
        <n v="10127"/>
        <n v="10072"/>
        <n v="10048"/>
        <n v="10204"/>
        <n v="10264"/>
        <n v="10033"/>
        <n v="10174"/>
        <n v="10135"/>
        <n v="10301"/>
        <n v="10010"/>
        <n v="10043"/>
        <n v="10271"/>
      </sharedItems>
    </cacheField>
    <cacheField name="Salary" numFmtId="6">
      <sharedItems containsSemiMixedTypes="0" containsString="0" containsNumber="1" containsInteger="1" minValue="45046" maxValue="250000" count="308">
        <n v="62506"/>
        <n v="104437"/>
        <n v="64955"/>
        <n v="64991"/>
        <n v="50825"/>
        <n v="57568"/>
        <n v="95660"/>
        <n v="59365"/>
        <n v="47837"/>
        <n v="50178"/>
        <n v="54670"/>
        <n v="47211"/>
        <n v="92328"/>
        <n v="58709"/>
        <n v="52505"/>
        <n v="57834"/>
        <n v="70131"/>
        <n v="59026"/>
        <n v="110000"/>
        <n v="53250"/>
        <n v="51044"/>
        <n v="64919"/>
        <n v="62910"/>
        <n v="66441"/>
        <n v="57815"/>
        <n v="103613"/>
        <n v="106367"/>
        <n v="74312"/>
        <n v="53492"/>
        <n v="63000"/>
        <n v="65288"/>
        <n v="64375"/>
        <n v="74326"/>
        <n v="63763"/>
        <n v="62162"/>
        <n v="77692"/>
        <n v="72640"/>
        <n v="93396"/>
        <n v="52846"/>
        <n v="100031"/>
        <n v="71860"/>
        <n v="61656"/>
        <n v="110929"/>
        <n v="54237"/>
        <n v="60380"/>
        <n v="66808"/>
        <n v="64786"/>
        <n v="64816"/>
        <n v="68678"/>
        <n v="64066"/>
        <n v="59369"/>
        <n v="50373"/>
        <n v="63108"/>
        <n v="59144"/>
        <n v="68051"/>
        <n v="170500"/>
        <n v="63381"/>
        <n v="83552"/>
        <n v="56149"/>
        <n v="92329"/>
        <n v="65729"/>
        <n v="85028"/>
        <n v="57583"/>
        <n v="56294"/>
        <n v="56991"/>
        <n v="55722"/>
        <n v="101199"/>
        <n v="61568"/>
        <n v="58275"/>
        <n v="53189"/>
        <n v="96820"/>
        <n v="51259"/>
        <n v="59231"/>
        <n v="61584"/>
        <n v="46335"/>
        <n v="70621"/>
        <n v="138888"/>
        <n v="74241"/>
        <n v="75188"/>
        <n v="62514"/>
        <n v="60070"/>
        <n v="48888"/>
        <n v="54285"/>
        <n v="56847"/>
        <n v="60340"/>
        <n v="59124"/>
        <n v="99280"/>
        <n v="71776"/>
        <n v="65902"/>
        <n v="57748"/>
        <n v="64057"/>
        <n v="53366"/>
        <n v="58530"/>
        <n v="72609"/>
        <n v="55965"/>
        <n v="70187"/>
        <n v="178000"/>
        <n v="99351"/>
        <n v="67251"/>
        <n v="65707"/>
        <n v="52249"/>
        <n v="53171"/>
        <n v="51337"/>
        <n v="51505"/>
        <n v="59370"/>
        <n v="54933"/>
        <n v="61555"/>
        <n v="114800"/>
        <n v="74679"/>
        <n v="53018"/>
        <n v="59892"/>
        <n v="68898"/>
        <n v="61242"/>
        <n v="66825"/>
        <n v="48285"/>
        <n v="66149"/>
        <n v="49256"/>
        <n v="62957"/>
        <n v="63813"/>
        <n v="99020"/>
        <n v="71707"/>
        <n v="54828"/>
        <n v="64246"/>
        <n v="52177"/>
        <n v="62065"/>
        <n v="46998"/>
        <n v="68099"/>
        <n v="70545"/>
        <n v="63478"/>
        <n v="97999"/>
        <n v="180000"/>
        <n v="49920"/>
        <n v="55425"/>
        <n v="69340"/>
        <n v="64995"/>
        <n v="68182"/>
        <n v="83082"/>
        <n v="51908"/>
        <n v="45069"/>
        <n v="60724"/>
        <n v="60436"/>
        <n v="46837"/>
        <n v="105700"/>
        <n v="63322"/>
        <n v="61154"/>
        <n v="68999"/>
        <n v="50482"/>
        <n v="65310"/>
        <n v="250000"/>
        <n v="54005"/>
        <n v="45433"/>
        <n v="46654"/>
        <n v="63973"/>
        <n v="71339"/>
        <n v="93206"/>
        <n v="82758"/>
        <n v="66074"/>
        <n v="46120"/>
        <n v="64520"/>
        <n v="61962"/>
        <n v="81584"/>
        <n v="63676"/>
        <n v="93046"/>
        <n v="64738"/>
        <n v="70468"/>
        <n v="77915"/>
        <n v="52624"/>
        <n v="63450"/>
        <n v="51777"/>
        <n v="67237"/>
        <n v="73330"/>
        <n v="52057"/>
        <n v="47434"/>
        <n v="52788"/>
        <n v="45395"/>
        <n v="62385"/>
        <n v="68407"/>
        <n v="61349"/>
        <n v="105688"/>
        <n v="54132"/>
        <n v="55315"/>
        <n v="62810"/>
        <n v="63291"/>
        <n v="62659"/>
        <n v="55688"/>
        <n v="83667"/>
        <n v="55800"/>
        <n v="58207"/>
        <n v="157000"/>
        <n v="72460"/>
        <n v="72106"/>
        <n v="52599"/>
        <n v="63430"/>
        <n v="74417"/>
        <n v="57575"/>
        <n v="87921"/>
        <n v="50470"/>
        <n v="46664"/>
        <n v="48495"/>
        <n v="52984"/>
        <n v="63695"/>
        <n v="62061"/>
        <n v="66738"/>
        <n v="52674"/>
        <n v="71966"/>
        <n v="63051"/>
        <n v="47414"/>
        <n v="53060"/>
        <n v="68829"/>
        <n v="63515"/>
        <n v="108987"/>
        <n v="93093"/>
        <n v="53564"/>
        <n v="60270"/>
        <n v="45998"/>
        <n v="57954"/>
        <n v="74669"/>
        <n v="74226"/>
        <n v="93554"/>
        <n v="64724"/>
        <n v="47001"/>
        <n v="61844"/>
        <n v="46799"/>
        <n v="59472"/>
        <n v="46430"/>
        <n v="83363"/>
        <n v="95920"/>
        <n v="61729"/>
        <n v="61809"/>
        <n v="45115"/>
        <n v="46738"/>
        <n v="64971"/>
        <n v="55578"/>
        <n v="50428"/>
        <n v="61422"/>
        <n v="63353"/>
        <n v="89883"/>
        <n v="120000"/>
        <n v="150290"/>
        <n v="60627"/>
        <n v="53180"/>
        <n v="140920"/>
        <n v="148999"/>
        <n v="86214"/>
        <n v="47750"/>
        <n v="46428"/>
        <n v="57975"/>
        <n v="88527"/>
        <n v="56147"/>
        <n v="50923"/>
        <n v="50750"/>
        <n v="52087"/>
        <n v="87826"/>
        <n v="51920"/>
        <n v="63878"/>
        <n v="60656"/>
        <n v="72992"/>
        <n v="55000"/>
        <n v="58939"/>
        <n v="66593"/>
        <n v="87565"/>
        <n v="64021"/>
        <n v="65714"/>
        <n v="62425"/>
        <n v="47961"/>
        <n v="58273"/>
        <n v="63003"/>
        <n v="61355"/>
        <n v="60120"/>
        <n v="63682"/>
        <n v="63025"/>
        <n v="59238"/>
        <n v="92989"/>
        <n v="90100"/>
        <n v="60754"/>
        <n v="72202"/>
        <n v="58370"/>
        <n v="48413"/>
        <n v="67176"/>
        <n v="56339"/>
        <n v="64397"/>
        <n v="75281"/>
        <n v="100416"/>
        <n v="74813"/>
        <n v="76029"/>
        <n v="57859"/>
        <n v="58523"/>
        <n v="88976"/>
        <n v="55875"/>
        <n v="113999"/>
        <n v="49773"/>
        <n v="62068"/>
        <n v="66541"/>
        <n v="80512"/>
        <n v="50274"/>
        <n v="84903"/>
        <n v="107226"/>
        <n v="58371"/>
        <n v="55140"/>
        <n v="58062"/>
        <n v="59728"/>
        <n v="70507"/>
        <n v="60446"/>
        <n v="65893"/>
        <n v="48513"/>
        <n v="220450"/>
        <n v="89292"/>
        <n v="45046"/>
      </sharedItems>
    </cacheField>
    <cacheField name="Position" numFmtId="0">
      <sharedItems/>
    </cacheField>
    <cacheField name="State" numFmtId="0">
      <sharedItems/>
    </cacheField>
    <cacheField name="Zip" numFmtId="1">
      <sharedItems containsSemiMixedTypes="0" containsString="0" containsNumber="1" containsInteger="1" minValue="1013" maxValue="98052"/>
    </cacheField>
    <cacheField name="DOB" numFmtId="0">
      <sharedItems containsSemiMixedTypes="0" containsNonDate="0" containsDate="1" containsString="0" minDate="1951-01-02T00:00:00" maxDate="1992-08-18T00:00:00"/>
    </cacheField>
    <cacheField name="Gender" numFmtId="0">
      <sharedItems count="2">
        <s v="M "/>
        <s v="F"/>
      </sharedItems>
    </cacheField>
    <cacheField name="Marital Desc" numFmtId="0">
      <sharedItems/>
    </cacheField>
    <cacheField name="Race Desc" numFmtId="0">
      <sharedItems count="6">
        <s v="White"/>
        <s v="Black or African American"/>
        <s v="Two or more races"/>
        <s v="Asian"/>
        <s v="American Indian or Alaska Native"/>
        <s v="Hispanic"/>
      </sharedItems>
    </cacheField>
    <cacheField name="Date of Hire" numFmtId="0">
      <sharedItems containsSemiMixedTypes="0" containsNonDate="0" containsDate="1" containsString="0" minDate="2011-07-05T00:00:00" maxDate="2012-05-11T00:00:00" count="311">
        <d v="2011-07-05T00:00:00"/>
        <d v="2011-07-06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2T00:00:00"/>
        <d v="2011-07-23T00:00:00"/>
        <d v="2011-07-24T00:00:00"/>
        <d v="2011-07-25T00:00:00"/>
        <d v="2011-07-26T00:00:00"/>
        <d v="2011-07-27T00:00:00"/>
        <d v="2011-07-28T00:00:00"/>
        <d v="2011-07-29T00:00:00"/>
        <d v="2011-07-30T00:00:00"/>
        <d v="2011-07-31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8-29T00:00:00"/>
        <d v="2011-08-30T00:00:00"/>
        <d v="2011-08-31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09-29T00:00:00"/>
        <d v="2011-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4T00:00:00"/>
        <d v="2011-10-25T00:00:00"/>
        <d v="2011-10-26T00:00:00"/>
        <d v="2011-10-27T00:00:00"/>
        <d v="2011-10-28T00:00:00"/>
        <d v="2011-10-29T00:00:00"/>
        <d v="2011-10-30T00:00:00"/>
        <d v="2011-10-31T00:00:00"/>
        <d v="2011-11-01T00:00:00"/>
        <d v="2011-11-02T00:00:00"/>
        <d v="2011-11-03T00:00:00"/>
        <d v="2011-11-04T00:00:00"/>
        <d v="2011-11-05T00:00:00"/>
        <d v="2011-11-06T00:00:00"/>
        <d v="2011-11-07T00:00:00"/>
        <d v="2011-11-08T00:00:00"/>
        <d v="2011-11-09T00:00:00"/>
        <d v="2011-11-10T00:00:00"/>
        <d v="2011-11-11T00:00:00"/>
        <d v="2011-11-12T00:00:00"/>
        <d v="2011-11-13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1-12-01T00:00:00"/>
        <d v="2011-12-02T00:00:00"/>
        <d v="2011-12-03T00:00:00"/>
        <d v="2011-12-04T00:00:00"/>
        <d v="2011-12-05T00:00:00"/>
        <d v="2011-12-06T00:00:00"/>
        <d v="2011-12-07T00:00:00"/>
        <d v="2011-12-08T00:00:00"/>
        <d v="2011-12-09T00:00:00"/>
        <d v="2011-12-10T00:00:00"/>
        <d v="2011-12-11T00:00:00"/>
        <d v="2011-12-12T00:00:00"/>
        <d v="2011-12-13T00:00:00"/>
        <d v="2011-12-14T00:00:00"/>
        <d v="2011-12-15T00:00:00"/>
        <d v="2011-12-16T00:00:00"/>
        <d v="2011-12-17T00:00:00"/>
        <d v="2011-12-18T00:00:00"/>
        <d v="2011-12-19T00:00:00"/>
        <d v="2011-12-20T00:00:00"/>
        <d v="2011-12-21T00:00:00"/>
        <d v="2011-12-22T00:00:00"/>
        <d v="2011-12-23T00:00:00"/>
        <d v="2011-12-24T00:00:00"/>
        <d v="2011-12-25T00:00:00"/>
        <d v="2011-12-26T00:00:00"/>
        <d v="2011-12-27T00:00:00"/>
        <d v="2011-12-28T00:00:00"/>
        <d v="2011-12-29T00:00:00"/>
        <d v="2011-12-30T00:00:00"/>
        <d v="2011-12-31T00:00:00"/>
        <d v="2012-01-01T00:00:00"/>
        <d v="2012-01-02T00:00:00"/>
        <d v="2012-01-03T00:00:00"/>
        <d v="2012-01-04T00:00:00"/>
        <d v="2012-01-05T00:00:00"/>
        <d v="2012-01-06T00:00:00"/>
        <d v="2012-01-07T00:00:00"/>
        <d v="2012-01-08T00:00:00"/>
        <d v="2012-01-09T00:00:00"/>
        <d v="2012-01-10T00:00:00"/>
        <d v="2012-01-11T00:00:00"/>
        <d v="2012-01-12T00:00:00"/>
        <d v="2012-01-13T00:00:00"/>
        <d v="2012-01-14T00:00:00"/>
        <d v="2012-01-15T00:00:00"/>
        <d v="2012-01-16T00:00:00"/>
        <d v="2012-01-17T00:00:00"/>
        <d v="2012-01-18T00:00:00"/>
        <d v="2012-01-19T00:00:00"/>
        <d v="2012-01-20T00:00:00"/>
        <d v="2012-01-21T00:00:00"/>
        <d v="2012-01-22T00:00:00"/>
        <d v="2012-01-23T00:00:00"/>
        <d v="2012-01-24T00:00:00"/>
        <d v="2012-01-25T00:00:00"/>
        <d v="2012-01-26T00:00:00"/>
        <d v="2012-01-27T00:00:00"/>
        <d v="2012-01-28T00:00:00"/>
        <d v="2012-01-29T00:00:00"/>
        <d v="2012-01-30T00:00:00"/>
        <d v="2012-01-31T00:00:00"/>
        <d v="2012-02-01T00:00:00"/>
        <d v="2012-02-02T00:00:00"/>
        <d v="2012-02-03T00:00:00"/>
        <d v="2012-02-04T00:00:00"/>
        <d v="2012-02-05T00:00:00"/>
        <d v="2012-02-06T00:00:00"/>
        <d v="2012-02-07T00:00:00"/>
        <d v="2012-02-08T00:00:00"/>
        <d v="2012-02-09T00:00:00"/>
        <d v="2012-02-10T00:00:00"/>
        <d v="2012-02-11T00:00:00"/>
        <d v="2012-02-12T00:00:00"/>
        <d v="2012-02-13T00:00:00"/>
        <d v="2012-02-14T00:00:00"/>
        <d v="2012-02-15T00:00:00"/>
        <d v="2012-02-16T00:00:00"/>
        <d v="2012-02-17T00:00:00"/>
        <d v="2012-02-18T00:00:00"/>
        <d v="2012-02-19T00:00:00"/>
        <d v="2012-02-20T00:00:00"/>
        <d v="2012-02-21T00:00:00"/>
        <d v="2012-02-22T00:00:00"/>
        <d v="2012-02-23T00:00:00"/>
        <d v="2012-02-24T00:00:00"/>
        <d v="2012-02-25T00:00:00"/>
        <d v="2012-02-26T00:00:00"/>
        <d v="2012-02-27T00:00:00"/>
        <d v="2012-02-28T00:00:00"/>
        <d v="2012-02-29T00:00:00"/>
        <d v="2012-03-01T00:00:00"/>
        <d v="2012-03-02T00:00:00"/>
        <d v="2012-03-03T00:00:00"/>
        <d v="2012-03-04T00:00:00"/>
        <d v="2012-03-05T00:00:00"/>
        <d v="2012-03-06T00:00:00"/>
        <d v="2012-03-07T00:00:00"/>
        <d v="2012-03-08T00:00:00"/>
        <d v="2012-03-09T00:00:00"/>
        <d v="2012-03-10T00:00:00"/>
        <d v="2012-03-11T00:00:00"/>
        <d v="2012-03-12T00:00:00"/>
        <d v="2012-03-13T00:00:00"/>
        <d v="2012-03-14T00:00:00"/>
        <d v="2012-03-15T00:00:00"/>
        <d v="2012-03-16T00:00:00"/>
        <d v="2012-03-17T00:00:00"/>
        <d v="2012-03-18T00:00:00"/>
        <d v="2012-03-19T00:00:00"/>
        <d v="2012-03-20T00:00:00"/>
        <d v="2012-03-21T00:00:00"/>
        <d v="2012-03-22T00:00:00"/>
        <d v="2012-03-23T00:00:00"/>
        <d v="2012-03-24T00:00:00"/>
        <d v="2012-03-25T00:00:00"/>
        <d v="2012-03-26T00:00:00"/>
        <d v="2012-03-27T00:00:00"/>
        <d v="2012-03-28T00:00:00"/>
        <d v="2012-03-29T00:00:00"/>
        <d v="2012-03-30T00:00:00"/>
        <d v="2012-03-31T00:00:00"/>
        <d v="2012-04-01T00:00:00"/>
        <d v="2012-04-02T00:00:00"/>
        <d v="2012-04-03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sharedItems>
      <fieldGroup par="27" base="10">
        <rangePr groupBy="months" startDate="2011-07-05T00:00:00" endDate="2012-05-11T00:00:00"/>
        <groupItems count="14">
          <s v="&lt;7/5/2011"/>
          <s v="Jan"/>
          <s v="Feb"/>
          <s v="Mar"/>
          <s v="Apr"/>
          <s v="May"/>
          <s v="Jun"/>
          <s v="Jul"/>
          <s v="Aug"/>
          <s v="Sep"/>
          <s v="Oct"/>
          <s v="Nov"/>
          <s v="Dec"/>
          <s v="&gt;5/11/2012"/>
        </groupItems>
      </fieldGroup>
    </cacheField>
    <cacheField name="Age at Hire" numFmtId="1">
      <sharedItems containsSemiMixedTypes="0" containsString="0" containsNumber="1" containsInteger="1" minValue="19" maxValue="60"/>
    </cacheField>
    <cacheField name="Date of Termination" numFmtId="0">
      <sharedItems containsNonDate="0" containsDate="1" containsString="0" containsBlank="1" minDate="2010-08-30T00:00:00" maxDate="2018-11-11T00:00:00"/>
    </cacheField>
    <cacheField name="Tenure" numFmtId="1">
      <sharedItems containsMixedTypes="1" containsNumber="1" containsInteger="1" minValue="0" maxValue="7" count="9">
        <s v=""/>
        <n v="4"/>
        <n v="1"/>
        <n v="5"/>
        <n v="6"/>
        <n v="2"/>
        <n v="3"/>
        <n v="0"/>
        <n v="7"/>
      </sharedItems>
    </cacheField>
    <cacheField name="Term/Reason" numFmtId="0">
      <sharedItems/>
    </cacheField>
    <cacheField name="Employment Status" numFmtId="0">
      <sharedItems count="3">
        <s v="Active"/>
        <s v="Voluntarily Terminated"/>
        <s v="Terminated for Cause"/>
      </sharedItems>
    </cacheField>
    <cacheField name="Department" numFmtId="0">
      <sharedItems count="6">
        <s v="Production       "/>
        <s v="IT/IS"/>
        <s v="Software Engineering"/>
        <s v="Admin Offices"/>
        <s v="Sales"/>
        <s v="Executive Office"/>
      </sharedItems>
    </cacheField>
    <cacheField name="Manager Name" numFmtId="0">
      <sharedItems count="21">
        <s v="Michael Albert"/>
        <s v="Simon Roup"/>
        <s v="Kissy Sullivan"/>
        <s v="Elijiah Gray"/>
        <s v="Webster Butler"/>
        <s v="Amy Dunn"/>
        <s v="Alex Sweetwater"/>
        <s v="Ketsia Liebig"/>
        <s v="Brannon Miller"/>
        <s v="Peter Monroe"/>
        <s v="David Stanley"/>
        <s v="Kelley Spirea"/>
        <s v="Brandon R. LeBlanc"/>
        <s v="Janet King"/>
        <s v="John Smith"/>
        <s v="Jennifer Zamora"/>
        <s v="Lynn Daneault"/>
        <s v="Eric Dougall"/>
        <s v="Debra Houlihan"/>
        <s v="Brian Champaigne"/>
        <s v="Board of Directors"/>
      </sharedItems>
    </cacheField>
    <cacheField name="Recruitment Source" numFmtId="0">
      <sharedItems count="9">
        <s v="LinkedIn"/>
        <s v="Indeed"/>
        <s v="Google Search"/>
        <s v="Employee Referral"/>
        <s v="Diversity Job Fair"/>
        <s v="On-line Web application"/>
        <s v="CareerBuilder"/>
        <s v="Website"/>
        <s v="Other"/>
      </sharedItems>
    </cacheField>
    <cacheField name="Performance Score" numFmtId="0">
      <sharedItems count="4">
        <s v="Exceeds"/>
        <s v="Fully Meets"/>
        <s v="Needs Improvement"/>
        <s v="PIP"/>
      </sharedItems>
    </cacheField>
    <cacheField name="Engagement Survey" numFmtId="0">
      <sharedItems containsSemiMixedTypes="0" containsString="0" containsNumber="1" minValue="1.1200000000000001" maxValue="5"/>
    </cacheField>
    <cacheField name="Emp Satisfaction" numFmtId="1">
      <sharedItems containsSemiMixedTypes="0" containsString="0" containsNumber="1" containsInteger="1" minValue="1" maxValue="5"/>
    </cacheField>
    <cacheField name="Special Projects Count" numFmtId="1">
      <sharedItems containsSemiMixedTypes="0" containsString="0" containsNumber="1" containsInteger="1" minValue="0" maxValue="8"/>
    </cacheField>
    <cacheField name="Last Performance Review Date" numFmtId="0">
      <sharedItems containsSemiMixedTypes="0" containsNonDate="0" containsDate="1" containsString="0" minDate="2010-07-14T00:00:00" maxDate="2019-12-03T00:00:00" count="137">
        <d v="2019-01-17T00:00:00"/>
        <d v="2016-02-24T00:00:00"/>
        <d v="2012-05-15T00:00:00"/>
        <d v="2019-03-01T00:00:00"/>
        <d v="2016-01-02T00:00:00"/>
        <d v="2019-07-01T00:00:00"/>
        <d v="2019-02-01T00:00:00"/>
        <d v="2019-02-25T00:00:00"/>
        <d v="2019-01-25T00:00:00"/>
        <d v="2019-02-18T00:00:00"/>
        <d v="2016-01-30T00:00:00"/>
        <d v="2016-06-05T00:00:00"/>
        <d v="2019-02-14T00:00:00"/>
        <d v="2017-02-03T00:00:00"/>
        <d v="2017-05-04T00:00:00"/>
        <d v="2019-01-14T00:00:00"/>
        <d v="2015-01-15T00:00:00"/>
        <d v="2019-11-01T00:00:00"/>
        <d v="2019-10-01T00:00:00"/>
        <d v="2019-02-27T00:00:00"/>
        <d v="2014-04-03T00:00:00"/>
        <d v="2016-10-01T00:00:00"/>
        <d v="2014-02-20T00:00:00"/>
        <d v="2013-04-03T00:00:00"/>
        <d v="2019-01-15T00:00:00"/>
        <d v="2019-01-02T00:00:00"/>
        <d v="2019-01-21T00:00:00"/>
        <d v="2013-10-02T00:00:00"/>
        <d v="2019-02-21T00:00:00"/>
        <d v="2019-02-22T00:00:00"/>
        <d v="2019-01-30T00:00:00"/>
        <d v="2019-12-02T00:00:00"/>
        <d v="2019-02-19T00:00:00"/>
        <d v="2019-01-19T00:00:00"/>
        <d v="2015-10-03T00:00:00"/>
        <d v="2012-03-05T00:00:00"/>
        <d v="2011-04-05T00:00:00"/>
        <d v="2019-02-28T00:00:00"/>
        <d v="2016-01-05T00:00:00"/>
        <d v="2019-04-02T00:00:00"/>
        <d v="2019-01-22T00:00:00"/>
        <d v="2019-01-28T00:00:00"/>
        <d v="2019-01-24T00:00:00"/>
        <d v="2019-01-31T00:00:00"/>
        <d v="2016-02-04T00:00:00"/>
        <d v="2015-06-05T00:00:00"/>
        <d v="2019-01-23T00:00:00"/>
        <d v="2019-01-29T00:00:00"/>
        <d v="2019-01-18T00:00:00"/>
        <d v="2019-04-01T00:00:00"/>
        <d v="2019-01-27T00:00:00"/>
        <d v="2017-09-04T00:00:00"/>
        <d v="2019-02-13T00:00:00"/>
        <d v="2018-12-04T00:00:00"/>
        <d v="2017-01-15T00:00:00"/>
        <d v="2012-10-08T00:00:00"/>
        <d v="2016-04-02T00:00:00"/>
        <d v="2013-05-04T00:00:00"/>
        <d v="2012-07-01T00:00:00"/>
        <d v="2019-08-02T00:00:00"/>
        <d v="2019-02-26T00:00:00"/>
        <d v="2019-01-16T00:00:00"/>
        <d v="2016-04-29T00:00:00"/>
        <d v="2014-01-15T00:00:00"/>
        <d v="2015-01-20T00:00:00"/>
        <d v="2019-07-02T00:00:00"/>
        <d v="2011-06-03T00:00:00"/>
        <d v="2019-02-15T00:00:00"/>
        <d v="2013-03-06T00:00:00"/>
        <d v="2013-01-02T00:00:00"/>
        <d v="2019-08-01T00:00:00"/>
        <d v="2015-02-05T00:00:00"/>
        <d v="2019-11-02T00:00:00"/>
        <d v="2013-01-30T00:00:00"/>
        <d v="2012-05-03T00:00:00"/>
        <d v="2015-04-15T00:00:00"/>
        <d v="2012-12-04T00:00:00"/>
        <d v="2018-02-14T00:00:00"/>
        <d v="2016-03-02T00:00:00"/>
        <d v="2013-03-30T00:00:00"/>
        <d v="2015-01-03T00:00:00"/>
        <d v="2019-06-02T00:00:00"/>
        <d v="2015-02-15T00:00:00"/>
        <d v="2013-02-20T00:00:00"/>
        <d v="2017-02-07T00:00:00"/>
        <d v="2018-02-03T00:00:00"/>
        <d v="2016-10-06T00:00:00"/>
        <d v="2015-02-02T00:00:00"/>
        <d v="2017-01-04T00:00:00"/>
        <d v="2012-02-07T00:00:00"/>
        <d v="2016-05-02T00:00:00"/>
        <d v="2013-01-14T00:00:00"/>
        <d v="2013-02-03T00:00:00"/>
        <d v="2016-06-03T00:00:00"/>
        <d v="2018-09-03T00:00:00"/>
        <d v="2013-02-07T00:00:00"/>
        <d v="2015-08-16T00:00:00"/>
        <d v="2016-01-16T00:00:00"/>
        <d v="2017-06-04T00:00:00"/>
        <d v="2015-06-02T00:00:00"/>
        <d v="2014-05-13T00:00:00"/>
        <d v="2013-10-01T00:00:00"/>
        <d v="2015-05-03T00:00:00"/>
        <d v="2012-02-20T00:00:00"/>
        <d v="2018-02-04T00:00:00"/>
        <d v="2013-02-04T00:00:00"/>
        <d v="2014-04-19T00:00:00"/>
        <d v="2018-04-02T00:00:00"/>
        <d v="2015-03-30T00:00:00"/>
        <d v="2011-10-22T00:00:00"/>
        <d v="2012-06-01T00:00:00"/>
        <d v="2015-10-01T00:00:00"/>
        <d v="2016-05-04T00:00:00"/>
        <d v="2018-02-13T00:00:00"/>
        <d v="2018-02-07T00:00:00"/>
        <d v="2015-04-01T00:00:00"/>
        <d v="2018-05-02T00:00:00"/>
        <d v="2015-04-20T00:00:00"/>
        <d v="2015-02-04T00:00:00"/>
        <d v="2013-08-15T00:00:00"/>
        <d v="2015-02-03T00:00:00"/>
        <d v="2012-02-15T00:00:00"/>
        <d v="2017-04-18T00:00:00"/>
        <d v="2016-02-03T00:00:00"/>
        <d v="2010-07-14T00:00:00"/>
        <d v="2017-12-02T00:00:00"/>
        <d v="2014-05-01T00:00:00"/>
        <d v="2017-02-15T00:00:00"/>
        <d v="2015-01-02T00:00:00"/>
        <d v="2012-02-01T00:00:00"/>
        <d v="2014-05-09T00:00:00"/>
        <d v="2019-05-02T00:00:00"/>
        <d v="2014-05-15T00:00:00"/>
        <d v="2011-06-02T00:00:00"/>
        <d v="2014-02-06T00:00:00"/>
        <d v="2016-01-19T00:00:00"/>
        <d v="2015-02-09T00:00:00"/>
      </sharedItems>
      <fieldGroup par="29" base="23">
        <rangePr groupBy="months" startDate="2010-07-14T00:00:00" endDate="2019-12-03T00:00:00"/>
        <groupItems count="14">
          <s v="&lt;7/14/2010"/>
          <s v="Jan"/>
          <s v="Feb"/>
          <s v="Mar"/>
          <s v="Apr"/>
          <s v="May"/>
          <s v="Jun"/>
          <s v="Jul"/>
          <s v="Aug"/>
          <s v="Sep"/>
          <s v="Oct"/>
          <s v="Nov"/>
          <s v="Dec"/>
          <s v="&gt;12/3/2019"/>
        </groupItems>
      </fieldGroup>
    </cacheField>
    <cacheField name="Days Late Last 30Days" numFmtId="1">
      <sharedItems containsMixedTypes="1" containsNumber="1" containsInteger="1" minValue="0" maxValue="6"/>
    </cacheField>
    <cacheField name="Days Absent" numFmtId="1">
      <sharedItems containsMixedTypes="1" containsNumber="1" containsInteger="1" minValue="1" maxValue="20"/>
    </cacheField>
    <cacheField name="Quarters" numFmtId="0" databaseField="0">
      <fieldGroup base="10">
        <rangePr groupBy="quarters" startDate="2011-07-05T00:00:00" endDate="2012-05-11T00:00:00"/>
        <groupItems count="6">
          <s v="&lt;7/5/2011"/>
          <s v="Qtr1"/>
          <s v="Qtr2"/>
          <s v="Qtr3"/>
          <s v="Qtr4"/>
          <s v="&gt;5/11/2012"/>
        </groupItems>
      </fieldGroup>
    </cacheField>
    <cacheField name="Years" numFmtId="0" databaseField="0">
      <fieldGroup base="10">
        <rangePr groupBy="years" startDate="2011-07-05T00:00:00" endDate="2012-05-11T00:00:00"/>
        <groupItems count="4">
          <s v="&lt;7/5/2011"/>
          <s v="2011"/>
          <s v="2012"/>
          <s v="&gt;5/11/2012"/>
        </groupItems>
      </fieldGroup>
    </cacheField>
    <cacheField name="Quarters2" numFmtId="0" databaseField="0">
      <fieldGroup base="23">
        <rangePr groupBy="quarters" startDate="2010-07-14T00:00:00" endDate="2019-12-03T00:00:00"/>
        <groupItems count="6">
          <s v="&lt;7/14/2010"/>
          <s v="Qtr1"/>
          <s v="Qtr2"/>
          <s v="Qtr3"/>
          <s v="Qtr4"/>
          <s v="&gt;12/3/2019"/>
        </groupItems>
      </fieldGroup>
    </cacheField>
    <cacheField name="Years2" numFmtId="0" databaseField="0">
      <fieldGroup base="23">
        <rangePr groupBy="years" startDate="2010-07-14T00:00:00" endDate="2019-12-03T00:00:00"/>
        <groupItems count="12">
          <s v="&lt;7/14/2010"/>
          <s v="2010"/>
          <s v="2011"/>
          <s v="2012"/>
          <s v="2013"/>
          <s v="2014"/>
          <s v="2015"/>
          <s v="2016"/>
          <s v="2017"/>
          <s v="2018"/>
          <s v="2019"/>
          <s v="&gt;12/3/2019"/>
        </groupItems>
      </fieldGroup>
    </cacheField>
  </cacheFields>
  <extLst>
    <ext xmlns:x14="http://schemas.microsoft.com/office/spreadsheetml/2009/9/main" uri="{725AE2AE-9491-48be-B2B4-4EB974FC3084}">
      <x14:pivotCacheDefinition pivotCacheId="1512604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x v="0"/>
    <n v="62506"/>
    <s v="Production Technician I"/>
    <s v="MA"/>
    <n v="1960"/>
    <d v="1983-07-10T00:00:00"/>
    <x v="0"/>
    <s v="Single"/>
    <x v="0"/>
    <x v="0"/>
    <n v="27"/>
    <m/>
    <s v=""/>
    <s v="N/A-StillEmployed"/>
    <s v="Active"/>
    <x v="0"/>
    <x v="0"/>
    <x v="0"/>
    <s v="Exceeds"/>
    <n v="4.5999999999999996"/>
    <n v="5"/>
    <n v="0"/>
    <x v="0"/>
    <n v="0"/>
    <n v="1"/>
  </r>
  <r>
    <x v="1"/>
    <x v="1"/>
    <n v="104437"/>
    <s v="Sr. DBA"/>
    <s v="MA"/>
    <n v="2148"/>
    <d v="1975-05-05T00:00:00"/>
    <x v="0"/>
    <s v="Married"/>
    <x v="0"/>
    <x v="1"/>
    <n v="36"/>
    <d v="2016-06-16T00:00:00"/>
    <n v="4"/>
    <s v="career change"/>
    <s v="Voluntarily Terminated"/>
    <x v="1"/>
    <x v="1"/>
    <x v="1"/>
    <s v="Fully Meets"/>
    <n v="4.96"/>
    <n v="3"/>
    <n v="6"/>
    <x v="1"/>
    <n v="0"/>
    <n v="1"/>
  </r>
  <r>
    <x v="2"/>
    <x v="2"/>
    <n v="64955"/>
    <s v="Production Technician II"/>
    <s v="MA"/>
    <n v="1810"/>
    <d v="1988-09-19T00:00:00"/>
    <x v="1"/>
    <s v="Married"/>
    <x v="0"/>
    <x v="2"/>
    <n v="22"/>
    <d v="2012-09-24T00:00:00"/>
    <n v="1"/>
    <s v="hours"/>
    <s v="Voluntarily Terminated"/>
    <x v="0"/>
    <x v="2"/>
    <x v="0"/>
    <s v="Fully Meets"/>
    <n v="3.02"/>
    <n v="3"/>
    <n v="0"/>
    <x v="2"/>
    <n v="0"/>
    <n v="3"/>
  </r>
  <r>
    <x v="3"/>
    <x v="3"/>
    <n v="64991"/>
    <s v="Production Technician I"/>
    <s v="MA"/>
    <n v="1886"/>
    <d v="1988-09-28T00:00:00"/>
    <x v="1"/>
    <s v="Married"/>
    <x v="0"/>
    <x v="3"/>
    <n v="22"/>
    <m/>
    <s v=""/>
    <s v="N/A-StillEmployed"/>
    <s v="Active"/>
    <x v="0"/>
    <x v="3"/>
    <x v="1"/>
    <s v="Fully Meets"/>
    <n v="4.84"/>
    <n v="5"/>
    <n v="0"/>
    <x v="3"/>
    <n v="0"/>
    <n v="15"/>
  </r>
  <r>
    <x v="4"/>
    <x v="4"/>
    <n v="50825"/>
    <s v="Production Technician I"/>
    <s v="MA"/>
    <n v="2169"/>
    <d v="1989-09-08T00:00:00"/>
    <x v="1"/>
    <s v="Divorced"/>
    <x v="0"/>
    <x v="4"/>
    <n v="21"/>
    <d v="2016-09-06T00:00:00"/>
    <n v="5"/>
    <s v="return to school"/>
    <s v="Voluntarily Terminated"/>
    <x v="0"/>
    <x v="4"/>
    <x v="2"/>
    <s v="Fully Meets"/>
    <n v="5"/>
    <n v="4"/>
    <n v="0"/>
    <x v="4"/>
    <n v="0"/>
    <n v="2"/>
  </r>
  <r>
    <x v="5"/>
    <x v="5"/>
    <n v="57568"/>
    <s v="Production Technician I"/>
    <s v="MA"/>
    <n v="1844"/>
    <d v="1977-05-22T00:00:00"/>
    <x v="1"/>
    <s v="Single"/>
    <x v="0"/>
    <x v="5"/>
    <n v="34"/>
    <m/>
    <s v=""/>
    <s v="N/A-StillEmployed"/>
    <s v="Active"/>
    <x v="0"/>
    <x v="5"/>
    <x v="0"/>
    <s v="Exceeds"/>
    <n v="5"/>
    <n v="5"/>
    <n v="0"/>
    <x v="5"/>
    <n v="0"/>
    <n v="15"/>
  </r>
  <r>
    <x v="6"/>
    <x v="6"/>
    <n v="95660"/>
    <s v="Software Engineer"/>
    <s v="MA"/>
    <n v="2110"/>
    <d v="1979-05-24T00:00:00"/>
    <x v="1"/>
    <s v="Single"/>
    <x v="0"/>
    <x v="6"/>
    <n v="32"/>
    <m/>
    <s v=""/>
    <s v="N/A-StillEmployed"/>
    <s v="Active"/>
    <x v="2"/>
    <x v="6"/>
    <x v="0"/>
    <s v="Fully Meets"/>
    <n v="3.04"/>
    <n v="3"/>
    <n v="4"/>
    <x v="6"/>
    <n v="0"/>
    <n v="19"/>
  </r>
  <r>
    <x v="7"/>
    <x v="7"/>
    <n v="59365"/>
    <s v="Production Technician I"/>
    <s v="MA"/>
    <n v="2199"/>
    <d v="1983-02-18T00:00:00"/>
    <x v="0"/>
    <s v="Widowed"/>
    <x v="0"/>
    <x v="7"/>
    <n v="28"/>
    <m/>
    <s v=""/>
    <s v="N/A-StillEmployed"/>
    <s v="Active"/>
    <x v="0"/>
    <x v="7"/>
    <x v="3"/>
    <s v="Fully Meets"/>
    <n v="5"/>
    <n v="4"/>
    <n v="0"/>
    <x v="7"/>
    <n v="0"/>
    <n v="19"/>
  </r>
  <r>
    <x v="8"/>
    <x v="8"/>
    <n v="47837"/>
    <s v="Production Technician I"/>
    <s v="MA"/>
    <n v="1902"/>
    <d v="1970-02-11T00:00:00"/>
    <x v="1"/>
    <s v="Single"/>
    <x v="1"/>
    <x v="8"/>
    <n v="41"/>
    <m/>
    <s v=""/>
    <s v="N/A-StillEmployed"/>
    <s v="Active"/>
    <x v="0"/>
    <x v="8"/>
    <x v="4"/>
    <s v="Fully Meets"/>
    <n v="4.46"/>
    <n v="3"/>
    <n v="0"/>
    <x v="8"/>
    <n v="0"/>
    <n v="4"/>
  </r>
  <r>
    <x v="9"/>
    <x v="9"/>
    <n v="50178"/>
    <s v="IT Support"/>
    <s v="MA"/>
    <n v="1886"/>
    <d v="1988-01-07T00:00:00"/>
    <x v="0"/>
    <s v="Divorced"/>
    <x v="0"/>
    <x v="9"/>
    <n v="23"/>
    <m/>
    <s v=""/>
    <s v="N/A-StillEmployed"/>
    <s v="Active"/>
    <x v="1"/>
    <x v="9"/>
    <x v="1"/>
    <s v="Fully Meets"/>
    <n v="5"/>
    <n v="5"/>
    <n v="6"/>
    <x v="9"/>
    <n v="0"/>
    <n v="16"/>
  </r>
  <r>
    <x v="10"/>
    <x v="10"/>
    <n v="54670"/>
    <s v="Production Technician I"/>
    <s v="MA"/>
    <n v="1902"/>
    <d v="1974-01-12T00:00:00"/>
    <x v="1"/>
    <s v="Married"/>
    <x v="1"/>
    <x v="10"/>
    <n v="37"/>
    <d v="2017-01-12T00:00:00"/>
    <n v="5"/>
    <s v="Another position"/>
    <s v="Voluntarily Terminated"/>
    <x v="0"/>
    <x v="10"/>
    <x v="4"/>
    <s v="Fully Meets"/>
    <n v="4.2"/>
    <n v="4"/>
    <n v="0"/>
    <x v="10"/>
    <n v="0"/>
    <n v="12"/>
  </r>
  <r>
    <x v="11"/>
    <x v="11"/>
    <n v="47211"/>
    <s v="Production Technician I"/>
    <s v="MA"/>
    <n v="2062"/>
    <d v="1974-02-21T00:00:00"/>
    <x v="0"/>
    <s v="Married"/>
    <x v="1"/>
    <x v="11"/>
    <n v="37"/>
    <d v="2016-09-19T00:00:00"/>
    <n v="5"/>
    <s v="unhappy"/>
    <s v="Voluntarily Terminated"/>
    <x v="0"/>
    <x v="2"/>
    <x v="4"/>
    <s v="Fully Meets"/>
    <n v="4.2"/>
    <n v="3"/>
    <n v="0"/>
    <x v="11"/>
    <n v="0"/>
    <n v="15"/>
  </r>
  <r>
    <x v="12"/>
    <x v="12"/>
    <n v="92328"/>
    <s v="Data Analyst"/>
    <s v="TX"/>
    <n v="78230"/>
    <d v="1988-07-04T00:00:00"/>
    <x v="0"/>
    <s v="Divorced"/>
    <x v="1"/>
    <x v="12"/>
    <n v="23"/>
    <m/>
    <s v=""/>
    <s v="N/A-StillEmployed"/>
    <s v="Active"/>
    <x v="1"/>
    <x v="1"/>
    <x v="4"/>
    <s v="Exceeds"/>
    <n v="4.28"/>
    <n v="4"/>
    <n v="5"/>
    <x v="7"/>
    <n v="0"/>
    <n v="9"/>
  </r>
  <r>
    <x v="13"/>
    <x v="13"/>
    <n v="58709"/>
    <s v="Production Technician I"/>
    <s v="MA"/>
    <n v="1810"/>
    <d v="1983-07-20T00:00:00"/>
    <x v="0"/>
    <s v="Single"/>
    <x v="2"/>
    <x v="13"/>
    <n v="27"/>
    <m/>
    <s v=""/>
    <s v="N/A-StillEmployed"/>
    <s v="Active"/>
    <x v="0"/>
    <x v="11"/>
    <x v="2"/>
    <s v="Fully Meets"/>
    <n v="4.5999999999999996"/>
    <n v="4"/>
    <n v="0"/>
    <x v="12"/>
    <n v="0"/>
    <n v="7"/>
  </r>
  <r>
    <x v="14"/>
    <x v="14"/>
    <n v="52505"/>
    <s v="Production Technician I"/>
    <s v="MA"/>
    <n v="2747"/>
    <d v="1977-07-15T00:00:00"/>
    <x v="0"/>
    <s v="Divorced"/>
    <x v="0"/>
    <x v="14"/>
    <n v="34"/>
    <d v="2017-04-06T00:00:00"/>
    <n v="5"/>
    <s v="Another position"/>
    <s v="Voluntarily Terminated"/>
    <x v="0"/>
    <x v="0"/>
    <x v="5"/>
    <s v="Fully Meets"/>
    <n v="5"/>
    <n v="5"/>
    <n v="0"/>
    <x v="13"/>
    <n v="0"/>
    <n v="1"/>
  </r>
  <r>
    <x v="15"/>
    <x v="15"/>
    <n v="57834"/>
    <s v="Production Technician I"/>
    <s v="MA"/>
    <n v="2050"/>
    <d v="1981-10-18T00:00:00"/>
    <x v="0"/>
    <s v="Single"/>
    <x v="0"/>
    <x v="15"/>
    <n v="29"/>
    <d v="2017-08-04T00:00:00"/>
    <n v="6"/>
    <s v="attendance"/>
    <s v="Terminated for Cause"/>
    <x v="0"/>
    <x v="11"/>
    <x v="2"/>
    <s v="Fully Meets"/>
    <n v="5"/>
    <n v="4"/>
    <n v="0"/>
    <x v="14"/>
    <n v="0"/>
    <n v="20"/>
  </r>
  <r>
    <x v="16"/>
    <x v="16"/>
    <n v="70131"/>
    <s v="Production Technician II"/>
    <s v="MA"/>
    <n v="2145"/>
    <d v="1966-04-17T00:00:00"/>
    <x v="1"/>
    <s v="Married"/>
    <x v="0"/>
    <x v="16"/>
    <n v="45"/>
    <m/>
    <s v=""/>
    <s v="N/A-StillEmployed"/>
    <s v="Active"/>
    <x v="0"/>
    <x v="11"/>
    <x v="3"/>
    <s v="Exceeds"/>
    <n v="4.4000000000000004"/>
    <n v="3"/>
    <n v="0"/>
    <x v="15"/>
    <n v="0"/>
    <n v="16"/>
  </r>
  <r>
    <x v="17"/>
    <x v="17"/>
    <n v="59026"/>
    <s v="Production Technician I"/>
    <s v="MA"/>
    <n v="1915"/>
    <d v="1970-10-27T00:00:00"/>
    <x v="1"/>
    <s v="Single"/>
    <x v="0"/>
    <x v="17"/>
    <n v="40"/>
    <m/>
    <s v=""/>
    <s v="N/A-StillEmployed"/>
    <s v="Active"/>
    <x v="0"/>
    <x v="3"/>
    <x v="2"/>
    <s v="Fully Meets"/>
    <n v="5"/>
    <n v="5"/>
    <n v="0"/>
    <x v="15"/>
    <n v="0"/>
    <n v="12"/>
  </r>
  <r>
    <x v="18"/>
    <x v="18"/>
    <n v="110000"/>
    <s v="Database Administrator"/>
    <s v="MA"/>
    <n v="2026"/>
    <d v="1986-04-04T00:00:00"/>
    <x v="1"/>
    <s v="Single"/>
    <x v="0"/>
    <x v="18"/>
    <n v="25"/>
    <d v="2015-09-12T00:00:00"/>
    <n v="4"/>
    <s v="performance"/>
    <s v="Terminated for Cause"/>
    <x v="1"/>
    <x v="1"/>
    <x v="2"/>
    <s v="Fully Meets"/>
    <n v="4.5"/>
    <n v="4"/>
    <n v="5"/>
    <x v="16"/>
    <n v="0"/>
    <n v="8"/>
  </r>
  <r>
    <x v="19"/>
    <x v="19"/>
    <n v="53250"/>
    <s v="Production Technician I"/>
    <s v="MA"/>
    <n v="2452"/>
    <d v="1979-04-06T00:00:00"/>
    <x v="0"/>
    <s v="Single"/>
    <x v="3"/>
    <x v="19"/>
    <n v="32"/>
    <m/>
    <s v=""/>
    <s v="N/A-StillEmployed"/>
    <s v="Active"/>
    <x v="0"/>
    <x v="4"/>
    <x v="0"/>
    <s v="Fully Meets"/>
    <n v="4.2"/>
    <n v="4"/>
    <n v="0"/>
    <x v="17"/>
    <n v="0"/>
    <n v="13"/>
  </r>
  <r>
    <x v="20"/>
    <x v="20"/>
    <n v="51044"/>
    <s v="Production Technician I"/>
    <s v="MA"/>
    <n v="2072"/>
    <d v="1970-12-22T00:00:00"/>
    <x v="0"/>
    <s v="Single"/>
    <x v="0"/>
    <x v="20"/>
    <n v="40"/>
    <m/>
    <s v=""/>
    <s v="N/A-StillEmployed"/>
    <s v="Active"/>
    <x v="0"/>
    <x v="5"/>
    <x v="2"/>
    <s v="Fully Meets"/>
    <n v="5"/>
    <n v="3"/>
    <n v="0"/>
    <x v="15"/>
    <n v="0"/>
    <n v="13"/>
  </r>
  <r>
    <x v="21"/>
    <x v="21"/>
    <n v="64919"/>
    <s v="Production Technician I"/>
    <s v="MA"/>
    <n v="2027"/>
    <d v="1958-12-27T00:00:00"/>
    <x v="1"/>
    <s v="Divorced"/>
    <x v="3"/>
    <x v="21"/>
    <n v="52"/>
    <m/>
    <s v=""/>
    <s v="N/A-StillEmployed"/>
    <s v="Active"/>
    <x v="0"/>
    <x v="7"/>
    <x v="1"/>
    <s v="Fully Meets"/>
    <n v="4.2"/>
    <n v="3"/>
    <n v="0"/>
    <x v="18"/>
    <n v="0"/>
    <n v="2"/>
  </r>
  <r>
    <x v="22"/>
    <x v="22"/>
    <n v="62910"/>
    <s v="Production Technician I"/>
    <s v="MA"/>
    <n v="2031"/>
    <d v="1989-09-01T00:00:00"/>
    <x v="1"/>
    <s v="Married"/>
    <x v="0"/>
    <x v="22"/>
    <n v="21"/>
    <m/>
    <s v=""/>
    <s v="N/A-StillEmployed"/>
    <s v="Active"/>
    <x v="0"/>
    <x v="8"/>
    <x v="1"/>
    <s v="Exceeds"/>
    <n v="5"/>
    <n v="3"/>
    <n v="0"/>
    <x v="19"/>
    <n v="0"/>
    <n v="19"/>
  </r>
  <r>
    <x v="23"/>
    <x v="23"/>
    <n v="66441"/>
    <s v="Production Technician II"/>
    <s v="MA"/>
    <n v="2171"/>
    <d v="1990-09-21T00:00:00"/>
    <x v="1"/>
    <s v="Single"/>
    <x v="0"/>
    <x v="23"/>
    <n v="20"/>
    <m/>
    <s v=""/>
    <s v="N/A-StillEmployed"/>
    <s v="Active"/>
    <x v="0"/>
    <x v="0"/>
    <x v="6"/>
    <s v="Needs Improvement"/>
    <n v="2"/>
    <n v="3"/>
    <n v="0"/>
    <x v="19"/>
    <n v="2"/>
    <n v="3"/>
  </r>
  <r>
    <x v="24"/>
    <x v="24"/>
    <n v="57815"/>
    <s v="Production Technician II"/>
    <s v="MA"/>
    <n v="2210"/>
    <d v="1967-01-16T00:00:00"/>
    <x v="1"/>
    <s v="Single"/>
    <x v="0"/>
    <x v="24"/>
    <n v="44"/>
    <d v="2014-04-04T00:00:00"/>
    <n v="2"/>
    <s v="career change"/>
    <s v="Voluntarily Terminated"/>
    <x v="0"/>
    <x v="3"/>
    <x v="2"/>
    <s v="Fully Meets"/>
    <n v="4.8"/>
    <n v="5"/>
    <n v="0"/>
    <x v="20"/>
    <n v="0"/>
    <n v="5"/>
  </r>
  <r>
    <x v="25"/>
    <x v="25"/>
    <n v="103613"/>
    <s v="Enterprise Architect"/>
    <s v="CT"/>
    <n v="6033"/>
    <d v="1964-07-30T00:00:00"/>
    <x v="0"/>
    <s v="Single"/>
    <x v="1"/>
    <x v="25"/>
    <n v="47"/>
    <d v="2016-02-19T00:00:00"/>
    <n v="4"/>
    <s v="Learned that he is a gangster"/>
    <s v="Terminated for Cause"/>
    <x v="1"/>
    <x v="1"/>
    <x v="0"/>
    <s v="Fully Meets"/>
    <n v="3.5"/>
    <n v="5"/>
    <n v="7"/>
    <x v="21"/>
    <n v="0"/>
    <n v="2"/>
  </r>
  <r>
    <x v="26"/>
    <x v="26"/>
    <n v="106367"/>
    <s v="Sr. Accountant"/>
    <s v="MA"/>
    <n v="2468"/>
    <d v="1987-04-04T00:00:00"/>
    <x v="1"/>
    <s v="Married"/>
    <x v="1"/>
    <x v="26"/>
    <n v="24"/>
    <m/>
    <s v=""/>
    <s v="N/A-StillEmployed"/>
    <s v="Active"/>
    <x v="3"/>
    <x v="12"/>
    <x v="4"/>
    <s v="Fully Meets"/>
    <n v="5"/>
    <n v="4"/>
    <n v="3"/>
    <x v="9"/>
    <n v="0"/>
    <n v="4"/>
  </r>
  <r>
    <x v="27"/>
    <x v="27"/>
    <n v="74312"/>
    <s v="Production Manager"/>
    <s v="MA"/>
    <n v="1901"/>
    <d v="1970-03-10T00:00:00"/>
    <x v="0"/>
    <s v="Single"/>
    <x v="3"/>
    <x v="27"/>
    <n v="41"/>
    <d v="2014-08-07T00:00:00"/>
    <n v="3"/>
    <s v="retiring"/>
    <s v="Voluntarily Terminated"/>
    <x v="0"/>
    <x v="13"/>
    <x v="1"/>
    <s v="Fully Meets"/>
    <n v="3.39"/>
    <n v="3"/>
    <n v="0"/>
    <x v="22"/>
    <n v="0"/>
    <n v="14"/>
  </r>
  <r>
    <x v="28"/>
    <x v="28"/>
    <n v="53492"/>
    <s v="Production Technician I"/>
    <s v="MA"/>
    <n v="1701"/>
    <d v="1990-08-24T00:00:00"/>
    <x v="1"/>
    <s v="Married"/>
    <x v="0"/>
    <x v="28"/>
    <n v="20"/>
    <d v="2013-06-15T00:00:00"/>
    <n v="1"/>
    <s v="Another position"/>
    <s v="Voluntarily Terminated"/>
    <x v="0"/>
    <x v="10"/>
    <x v="2"/>
    <s v="Fully Meets"/>
    <n v="3.35"/>
    <n v="4"/>
    <n v="0"/>
    <x v="23"/>
    <n v="0"/>
    <n v="6"/>
  </r>
  <r>
    <x v="29"/>
    <x v="29"/>
    <n v="63000"/>
    <s v="Accountant I"/>
    <s v="MA"/>
    <n v="1450"/>
    <d v="1987-11-24T00:00:00"/>
    <x v="1"/>
    <s v="Married"/>
    <x v="1"/>
    <x v="29"/>
    <n v="23"/>
    <m/>
    <s v=""/>
    <s v="N/A-StillEmployed"/>
    <s v="Active"/>
    <x v="3"/>
    <x v="12"/>
    <x v="4"/>
    <s v="Fully Meets"/>
    <n v="4.5"/>
    <n v="2"/>
    <n v="6"/>
    <x v="24"/>
    <n v="0"/>
    <n v="14"/>
  </r>
  <r>
    <x v="30"/>
    <x v="30"/>
    <n v="65288"/>
    <s v="Production Technician II"/>
    <s v="MA"/>
    <n v="1013"/>
    <d v="1983-07-28T00:00:00"/>
    <x v="0"/>
    <s v="Single"/>
    <x v="0"/>
    <x v="30"/>
    <n v="28"/>
    <m/>
    <s v=""/>
    <s v="N/A-StillEmployed"/>
    <s v="Active"/>
    <x v="0"/>
    <x v="4"/>
    <x v="2"/>
    <s v="Fully Meets"/>
    <n v="3.19"/>
    <n v="3"/>
    <n v="0"/>
    <x v="25"/>
    <n v="0"/>
    <n v="9"/>
  </r>
  <r>
    <x v="31"/>
    <x v="31"/>
    <n v="64375"/>
    <s v="Production Technician I"/>
    <s v="MA"/>
    <n v="2043"/>
    <d v="1969-10-30T00:00:00"/>
    <x v="1"/>
    <s v="Separated"/>
    <x v="1"/>
    <x v="31"/>
    <n v="41"/>
    <m/>
    <s v=""/>
    <s v="N/A-StillEmployed"/>
    <s v="Active"/>
    <x v="0"/>
    <x v="2"/>
    <x v="4"/>
    <s v="Fully Meets"/>
    <n v="3.5"/>
    <n v="5"/>
    <n v="0"/>
    <x v="26"/>
    <n v="0"/>
    <n v="17"/>
  </r>
  <r>
    <x v="32"/>
    <x v="32"/>
    <n v="74326"/>
    <s v="Area Sales Manager"/>
    <s v="VA"/>
    <n v="21851"/>
    <d v="1964-06-01T00:00:00"/>
    <x v="1"/>
    <s v="Married"/>
    <x v="1"/>
    <x v="32"/>
    <n v="47"/>
    <d v="2014-08-02T00:00:00"/>
    <n v="2"/>
    <s v="Another position"/>
    <s v="Voluntarily Terminated"/>
    <x v="4"/>
    <x v="14"/>
    <x v="2"/>
    <s v="Fully Meets"/>
    <n v="3.14"/>
    <n v="5"/>
    <n v="0"/>
    <x v="27"/>
    <n v="1"/>
    <n v="19"/>
  </r>
  <r>
    <x v="33"/>
    <x v="33"/>
    <n v="63763"/>
    <s v="Production Technician II"/>
    <s v="MA"/>
    <n v="2148"/>
    <d v="1980-03-02T00:00:00"/>
    <x v="1"/>
    <s v="Single"/>
    <x v="1"/>
    <x v="33"/>
    <n v="31"/>
    <m/>
    <s v=""/>
    <s v="N/A-StillEmployed"/>
    <s v="Active"/>
    <x v="0"/>
    <x v="5"/>
    <x v="3"/>
    <s v="Fully Meets"/>
    <n v="4.51"/>
    <n v="4"/>
    <n v="0"/>
    <x v="28"/>
    <n v="0"/>
    <n v="3"/>
  </r>
  <r>
    <x v="34"/>
    <x v="34"/>
    <n v="62162"/>
    <s v="Production Technician II"/>
    <s v="MA"/>
    <n v="1890"/>
    <d v="1977-08-19T00:00:00"/>
    <x v="0"/>
    <s v="Married"/>
    <x v="0"/>
    <x v="34"/>
    <n v="33"/>
    <m/>
    <s v=""/>
    <s v="N/A-StillEmployed"/>
    <s v="Active"/>
    <x v="0"/>
    <x v="7"/>
    <x v="1"/>
    <s v="Fully Meets"/>
    <n v="3.25"/>
    <n v="5"/>
    <n v="0"/>
    <x v="15"/>
    <n v="0"/>
    <n v="15"/>
  </r>
  <r>
    <x v="35"/>
    <x v="35"/>
    <n v="77692"/>
    <s v="Software Engineering Manager"/>
    <s v="MA"/>
    <n v="2184"/>
    <d v="1966-11-22T00:00:00"/>
    <x v="0"/>
    <s v="Single"/>
    <x v="0"/>
    <x v="35"/>
    <n v="44"/>
    <m/>
    <s v=""/>
    <s v="N/A-StillEmployed"/>
    <s v="Active"/>
    <x v="2"/>
    <x v="15"/>
    <x v="2"/>
    <s v="Fully Meets"/>
    <n v="3.84"/>
    <n v="3"/>
    <n v="5"/>
    <x v="26"/>
    <n v="0"/>
    <n v="4"/>
  </r>
  <r>
    <x v="36"/>
    <x v="36"/>
    <n v="72640"/>
    <s v="Production Manager"/>
    <s v="MA"/>
    <n v="2169"/>
    <d v="1983-08-09T00:00:00"/>
    <x v="0"/>
    <s v="Single"/>
    <x v="0"/>
    <x v="36"/>
    <n v="28"/>
    <m/>
    <s v=""/>
    <s v="N/A-StillEmployed"/>
    <s v="Active"/>
    <x v="0"/>
    <x v="13"/>
    <x v="1"/>
    <s v="Exceeds"/>
    <n v="5"/>
    <n v="3"/>
    <n v="0"/>
    <x v="29"/>
    <n v="0"/>
    <n v="14"/>
  </r>
  <r>
    <x v="37"/>
    <x v="37"/>
    <n v="93396"/>
    <s v="Software Engineer"/>
    <s v="MA"/>
    <n v="2132"/>
    <d v="1987-04-05T00:00:00"/>
    <x v="1"/>
    <s v="Single"/>
    <x v="0"/>
    <x v="37"/>
    <n v="24"/>
    <m/>
    <s v=""/>
    <s v="N/A-StillEmployed"/>
    <s v="Active"/>
    <x v="2"/>
    <x v="6"/>
    <x v="1"/>
    <s v="Fully Meets"/>
    <n v="4.96"/>
    <n v="4"/>
    <n v="6"/>
    <x v="30"/>
    <n v="0"/>
    <n v="3"/>
  </r>
  <r>
    <x v="38"/>
    <x v="38"/>
    <n v="52846"/>
    <s v="Production Technician I"/>
    <s v="MA"/>
    <n v="1701"/>
    <d v="1983-02-02T00:00:00"/>
    <x v="0"/>
    <s v="Single"/>
    <x v="1"/>
    <x v="38"/>
    <n v="28"/>
    <m/>
    <s v=""/>
    <s v="N/A-StillEmployed"/>
    <s v="Active"/>
    <x v="0"/>
    <x v="11"/>
    <x v="0"/>
    <s v="Fully Meets"/>
    <n v="4.43"/>
    <n v="3"/>
    <n v="0"/>
    <x v="25"/>
    <n v="0"/>
    <n v="14"/>
  </r>
  <r>
    <x v="39"/>
    <x v="39"/>
    <n v="100031"/>
    <s v="Sr. DBA"/>
    <s v="MA"/>
    <n v="1886"/>
    <d v="1986-06-06T00:00:00"/>
    <x v="1"/>
    <s v="Single"/>
    <x v="1"/>
    <x v="39"/>
    <n v="25"/>
    <m/>
    <s v=""/>
    <s v="N/A-StillEmployed"/>
    <s v="Active"/>
    <x v="1"/>
    <x v="1"/>
    <x v="0"/>
    <s v="Fully Meets"/>
    <n v="5"/>
    <n v="5"/>
    <n v="6"/>
    <x v="9"/>
    <n v="0"/>
    <n v="7"/>
  </r>
  <r>
    <x v="40"/>
    <x v="40"/>
    <n v="71860"/>
    <s v="Area Sales Manager"/>
    <s v="VT"/>
    <n v="5664"/>
    <d v="1963-05-15T00:00:00"/>
    <x v="1"/>
    <s v="Single"/>
    <x v="0"/>
    <x v="40"/>
    <n v="48"/>
    <m/>
    <s v=""/>
    <s v="N/A-StillEmployed"/>
    <s v="Active"/>
    <x v="4"/>
    <x v="14"/>
    <x v="1"/>
    <s v="Fully Meets"/>
    <n v="5"/>
    <n v="5"/>
    <n v="0"/>
    <x v="26"/>
    <n v="0"/>
    <n v="7"/>
  </r>
  <r>
    <x v="41"/>
    <x v="41"/>
    <n v="61656"/>
    <s v="Production Technician I"/>
    <s v="MA"/>
    <n v="2763"/>
    <d v="1951-01-02T00:00:00"/>
    <x v="1"/>
    <s v="Single"/>
    <x v="0"/>
    <x v="41"/>
    <n v="60"/>
    <m/>
    <s v=""/>
    <s v="N/A-StillEmployed"/>
    <s v="Active"/>
    <x v="0"/>
    <x v="0"/>
    <x v="2"/>
    <s v="Fully Meets"/>
    <n v="5"/>
    <n v="4"/>
    <n v="0"/>
    <x v="31"/>
    <n v="0"/>
    <n v="11"/>
  </r>
  <r>
    <x v="42"/>
    <x v="42"/>
    <n v="110929"/>
    <s v="BI Director"/>
    <s v="MA"/>
    <n v="2045"/>
    <d v="1972-02-09T00:00:00"/>
    <x v="0"/>
    <s v="Married"/>
    <x v="0"/>
    <x v="42"/>
    <n v="39"/>
    <m/>
    <s v=""/>
    <s v="N/A-StillEmployed"/>
    <s v="Active"/>
    <x v="1"/>
    <x v="15"/>
    <x v="1"/>
    <s v="Fully Meets"/>
    <n v="4.5"/>
    <n v="5"/>
    <n v="7"/>
    <x v="24"/>
    <n v="0"/>
    <n v="8"/>
  </r>
  <r>
    <x v="43"/>
    <x v="43"/>
    <n v="54237"/>
    <s v="Production Technician I"/>
    <s v="MA"/>
    <n v="2170"/>
    <d v="1979-02-12T00:00:00"/>
    <x v="1"/>
    <s v="Single"/>
    <x v="0"/>
    <x v="43"/>
    <n v="32"/>
    <m/>
    <s v=""/>
    <s v="N/A-StillEmployed"/>
    <s v="Active"/>
    <x v="0"/>
    <x v="3"/>
    <x v="1"/>
    <s v="Fully Meets"/>
    <n v="3.3"/>
    <n v="4"/>
    <n v="0"/>
    <x v="32"/>
    <n v="0"/>
    <n v="11"/>
  </r>
  <r>
    <x v="44"/>
    <x v="44"/>
    <n v="60380"/>
    <s v="Production Technician I"/>
    <s v="MA"/>
    <n v="1845"/>
    <d v="1983-08-24T00:00:00"/>
    <x v="0"/>
    <s v="Single"/>
    <x v="0"/>
    <x v="44"/>
    <n v="27"/>
    <m/>
    <s v=""/>
    <s v="N/A-StillEmployed"/>
    <s v="Active"/>
    <x v="0"/>
    <x v="4"/>
    <x v="0"/>
    <s v="Fully Meets"/>
    <n v="3.8"/>
    <n v="5"/>
    <n v="0"/>
    <x v="15"/>
    <n v="0"/>
    <n v="4"/>
  </r>
  <r>
    <x v="45"/>
    <x v="45"/>
    <n v="66808"/>
    <s v="Area Sales Manager"/>
    <s v="TX"/>
    <n v="78207"/>
    <d v="1970-06-11T00:00:00"/>
    <x v="0"/>
    <s v="Single"/>
    <x v="1"/>
    <x v="45"/>
    <n v="41"/>
    <m/>
    <s v=""/>
    <s v="N/A-StillEmployed"/>
    <s v="Active"/>
    <x v="4"/>
    <x v="16"/>
    <x v="3"/>
    <s v="Fully Meets"/>
    <n v="3"/>
    <n v="5"/>
    <n v="0"/>
    <x v="33"/>
    <n v="0"/>
    <n v="17"/>
  </r>
  <r>
    <x v="46"/>
    <x v="46"/>
    <n v="64786"/>
    <s v="Production Technician I"/>
    <s v="MA"/>
    <n v="1775"/>
    <d v="1983-08-27T00:00:00"/>
    <x v="1"/>
    <s v="Single"/>
    <x v="0"/>
    <x v="46"/>
    <n v="27"/>
    <d v="2015-11-15T00:00:00"/>
    <n v="4"/>
    <s v="relocation out of area"/>
    <s v="Voluntarily Terminated"/>
    <x v="0"/>
    <x v="5"/>
    <x v="1"/>
    <s v="Fully Meets"/>
    <n v="4.3"/>
    <n v="4"/>
    <n v="0"/>
    <x v="34"/>
    <n v="0"/>
    <n v="3"/>
  </r>
  <r>
    <x v="47"/>
    <x v="47"/>
    <n v="64816"/>
    <s v="Production Technician I"/>
    <s v="MA"/>
    <n v="2044"/>
    <d v="1988-05-31T00:00:00"/>
    <x v="1"/>
    <s v="Single"/>
    <x v="1"/>
    <x v="47"/>
    <n v="23"/>
    <m/>
    <s v=""/>
    <s v="N/A-StillEmployed"/>
    <s v="Active"/>
    <x v="0"/>
    <x v="7"/>
    <x v="1"/>
    <s v="Fully Meets"/>
    <n v="3.58"/>
    <n v="5"/>
    <n v="0"/>
    <x v="30"/>
    <n v="0"/>
    <n v="3"/>
  </r>
  <r>
    <x v="48"/>
    <x v="48"/>
    <n v="68678"/>
    <s v="IT Support"/>
    <s v="MA"/>
    <n v="2170"/>
    <d v="1985-09-05T00:00:00"/>
    <x v="0"/>
    <s v="Single"/>
    <x v="0"/>
    <x v="48"/>
    <n v="25"/>
    <m/>
    <s v=""/>
    <s v="N/A-StillEmployed"/>
    <s v="Active"/>
    <x v="1"/>
    <x v="17"/>
    <x v="1"/>
    <s v="Fully Meets"/>
    <n v="4.7"/>
    <n v="3"/>
    <n v="6"/>
    <x v="19"/>
    <n v="0"/>
    <n v="2"/>
  </r>
  <r>
    <x v="49"/>
    <x v="49"/>
    <n v="64066"/>
    <s v="Production Technician II"/>
    <s v="MA"/>
    <n v="1752"/>
    <d v="1981-08-31T00:00:00"/>
    <x v="1"/>
    <s v="Married"/>
    <x v="0"/>
    <x v="49"/>
    <n v="29"/>
    <d v="2013-01-07T00:00:00"/>
    <n v="1"/>
    <s v="unhappy"/>
    <s v="Voluntarily Terminated"/>
    <x v="0"/>
    <x v="8"/>
    <x v="2"/>
    <s v="Fully Meets"/>
    <n v="4.2"/>
    <n v="5"/>
    <n v="0"/>
    <x v="35"/>
    <n v="0"/>
    <n v="9"/>
  </r>
  <r>
    <x v="50"/>
    <x v="50"/>
    <n v="59369"/>
    <s v="Production Technician II"/>
    <s v="MA"/>
    <n v="2169"/>
    <d v="1978-11-25T00:00:00"/>
    <x v="0"/>
    <s v="Married"/>
    <x v="0"/>
    <x v="50"/>
    <n v="32"/>
    <d v="2011-09-26T00:00:00"/>
    <n v="0"/>
    <s v="career change"/>
    <s v="Voluntarily Terminated"/>
    <x v="0"/>
    <x v="10"/>
    <x v="1"/>
    <s v="Fully Meets"/>
    <n v="4.2"/>
    <n v="4"/>
    <n v="0"/>
    <x v="36"/>
    <n v="0"/>
    <n v="6"/>
  </r>
  <r>
    <x v="51"/>
    <x v="51"/>
    <n v="50373"/>
    <s v="Production Technician I"/>
    <s v="MA"/>
    <n v="2134"/>
    <d v="1980-08-26T00:00:00"/>
    <x v="0"/>
    <s v="Married"/>
    <x v="0"/>
    <x v="51"/>
    <n v="30"/>
    <m/>
    <s v=""/>
    <s v="N/A-StillEmployed"/>
    <s v="Active"/>
    <x v="0"/>
    <x v="8"/>
    <x v="3"/>
    <s v="Exceeds"/>
    <n v="4.0999999999999996"/>
    <n v="4"/>
    <n v="0"/>
    <x v="37"/>
    <n v="0"/>
    <n v="5"/>
  </r>
  <r>
    <x v="52"/>
    <x v="52"/>
    <n v="63108"/>
    <s v="Production Technician I"/>
    <s v="MA"/>
    <n v="2452"/>
    <d v="1977-09-08T00:00:00"/>
    <x v="0"/>
    <s v="Single"/>
    <x v="0"/>
    <x v="52"/>
    <n v="33"/>
    <m/>
    <s v=""/>
    <s v="N/A-StillEmployed"/>
    <s v="Active"/>
    <x v="0"/>
    <x v="10"/>
    <x v="3"/>
    <s v="Fully Meets"/>
    <n v="4.4000000000000004"/>
    <n v="5"/>
    <n v="0"/>
    <x v="15"/>
    <n v="0"/>
    <n v="3"/>
  </r>
  <r>
    <x v="53"/>
    <x v="53"/>
    <n v="59144"/>
    <s v="Production Technician I"/>
    <s v="MA"/>
    <n v="1880"/>
    <d v="1979-08-12T00:00:00"/>
    <x v="0"/>
    <s v="Single"/>
    <x v="1"/>
    <x v="53"/>
    <n v="32"/>
    <d v="2016-09-23T00:00:00"/>
    <n v="5"/>
    <s v="performance"/>
    <s v="Terminated for Cause"/>
    <x v="0"/>
    <x v="2"/>
    <x v="0"/>
    <s v="Needs Improvement"/>
    <n v="2"/>
    <n v="3"/>
    <n v="0"/>
    <x v="38"/>
    <n v="5"/>
    <n v="16"/>
  </r>
  <r>
    <x v="54"/>
    <x v="54"/>
    <n v="68051"/>
    <s v="Production Manager"/>
    <s v="MA"/>
    <n v="1803"/>
    <d v="1975-12-17T00:00:00"/>
    <x v="0"/>
    <s v="Divorced"/>
    <x v="0"/>
    <x v="54"/>
    <n v="35"/>
    <m/>
    <s v=""/>
    <s v="N/A-StillEmployed"/>
    <s v="Active"/>
    <x v="0"/>
    <x v="13"/>
    <x v="6"/>
    <s v="Needs Improvement"/>
    <n v="4.13"/>
    <n v="2"/>
    <n v="0"/>
    <x v="15"/>
    <n v="3"/>
    <n v="3"/>
  </r>
  <r>
    <x v="55"/>
    <x v="55"/>
    <n v="170500"/>
    <s v="Director of Operations"/>
    <s v="MA"/>
    <n v="2030"/>
    <d v="1983-03-19T00:00:00"/>
    <x v="0"/>
    <s v="Single"/>
    <x v="1"/>
    <x v="55"/>
    <n v="28"/>
    <m/>
    <s v=""/>
    <s v="N/A-StillEmployed"/>
    <s v="Active"/>
    <x v="0"/>
    <x v="13"/>
    <x v="1"/>
    <s v="Exceeds"/>
    <n v="3.7"/>
    <n v="5"/>
    <n v="0"/>
    <x v="39"/>
    <n v="0"/>
    <n v="15"/>
  </r>
  <r>
    <x v="56"/>
    <x v="56"/>
    <n v="63381"/>
    <s v="Production Technician I"/>
    <s v="MA"/>
    <n v="2189"/>
    <d v="1977-03-31T00:00:00"/>
    <x v="1"/>
    <s v="Married"/>
    <x v="0"/>
    <x v="56"/>
    <n v="34"/>
    <m/>
    <s v=""/>
    <s v="N/A-StillEmployed"/>
    <s v="Active"/>
    <x v="0"/>
    <x v="11"/>
    <x v="1"/>
    <s v="Fully Meets"/>
    <n v="4.7300000000000004"/>
    <n v="5"/>
    <n v="0"/>
    <x v="12"/>
    <n v="0"/>
    <n v="6"/>
  </r>
  <r>
    <x v="57"/>
    <x v="57"/>
    <n v="83552"/>
    <s v="Data Analyst"/>
    <s v="MA"/>
    <n v="1810"/>
    <d v="1986-08-26T00:00:00"/>
    <x v="0"/>
    <s v="Married"/>
    <x v="0"/>
    <x v="57"/>
    <n v="25"/>
    <m/>
    <s v=""/>
    <s v="N/A-StillEmployed"/>
    <s v="Active"/>
    <x v="1"/>
    <x v="1"/>
    <x v="1"/>
    <s v="Fully Meets"/>
    <n v="3.04"/>
    <n v="3"/>
    <n v="6"/>
    <x v="40"/>
    <n v="0"/>
    <n v="2"/>
  </r>
  <r>
    <x v="58"/>
    <x v="58"/>
    <n v="56149"/>
    <s v="Production Technician I"/>
    <s v="MA"/>
    <n v="1821"/>
    <d v="1987-04-10T00:00:00"/>
    <x v="1"/>
    <s v="Single"/>
    <x v="0"/>
    <x v="58"/>
    <n v="24"/>
    <m/>
    <s v=""/>
    <s v="N/A-StillEmployed"/>
    <s v="Active"/>
    <x v="0"/>
    <x v="0"/>
    <x v="0"/>
    <s v="Fully Meets"/>
    <n v="4.12"/>
    <n v="5"/>
    <n v="0"/>
    <x v="41"/>
    <n v="0"/>
    <n v="15"/>
  </r>
  <r>
    <x v="59"/>
    <x v="59"/>
    <n v="92329"/>
    <s v="Sr. Network Engineer"/>
    <s v="CT"/>
    <n v="6278"/>
    <d v="1965-09-09T00:00:00"/>
    <x v="0"/>
    <s v="Single"/>
    <x v="0"/>
    <x v="59"/>
    <n v="45"/>
    <m/>
    <s v=""/>
    <s v="N/A-StillEmployed"/>
    <s v="Active"/>
    <x v="1"/>
    <x v="9"/>
    <x v="3"/>
    <s v="Fully Meets"/>
    <n v="5"/>
    <n v="3"/>
    <n v="4"/>
    <x v="6"/>
    <n v="0"/>
    <n v="5"/>
  </r>
  <r>
    <x v="60"/>
    <x v="60"/>
    <n v="65729"/>
    <s v="Sales Manager"/>
    <s v="VT"/>
    <n v="5473"/>
    <d v="1990-04-19T00:00:00"/>
    <x v="1"/>
    <s v="Single"/>
    <x v="0"/>
    <x v="60"/>
    <n v="21"/>
    <m/>
    <s v=""/>
    <s v="N/A-StillEmployed"/>
    <s v="Active"/>
    <x v="4"/>
    <x v="18"/>
    <x v="1"/>
    <s v="Fully Meets"/>
    <n v="4.62"/>
    <n v="4"/>
    <n v="0"/>
    <x v="42"/>
    <n v="0"/>
    <n v="8"/>
  </r>
  <r>
    <x v="61"/>
    <x v="61"/>
    <n v="85028"/>
    <s v="Sr. Network Engineer"/>
    <s v="CT"/>
    <n v="6033"/>
    <d v="1952-01-18T00:00:00"/>
    <x v="1"/>
    <s v="Married"/>
    <x v="0"/>
    <x v="61"/>
    <n v="59"/>
    <m/>
    <s v=""/>
    <s v="N/A-StillEmployed"/>
    <s v="Active"/>
    <x v="1"/>
    <x v="9"/>
    <x v="0"/>
    <s v="Fully Meets"/>
    <n v="3.1"/>
    <n v="5"/>
    <n v="8"/>
    <x v="31"/>
    <n v="0"/>
    <n v="19"/>
  </r>
  <r>
    <x v="62"/>
    <x v="62"/>
    <n v="57583"/>
    <s v="Production Technician I"/>
    <s v="MA"/>
    <n v="2110"/>
    <d v="1978-11-05T00:00:00"/>
    <x v="1"/>
    <s v="Married"/>
    <x v="0"/>
    <x v="62"/>
    <n v="32"/>
    <m/>
    <s v=""/>
    <s v="N/A-StillEmployed"/>
    <s v="Active"/>
    <x v="0"/>
    <x v="3"/>
    <x v="1"/>
    <s v="Fully Meets"/>
    <n v="5"/>
    <n v="3"/>
    <n v="0"/>
    <x v="7"/>
    <n v="0"/>
    <n v="1"/>
  </r>
  <r>
    <x v="63"/>
    <x v="63"/>
    <n v="56294"/>
    <s v="Production Technician II"/>
    <s v="MA"/>
    <n v="2458"/>
    <d v="1979-09-14T00:00:00"/>
    <x v="0"/>
    <s v="Single"/>
    <x v="2"/>
    <x v="63"/>
    <n v="31"/>
    <m/>
    <s v=""/>
    <s v="N/A-StillEmployed"/>
    <s v="Active"/>
    <x v="0"/>
    <x v="2"/>
    <x v="0"/>
    <s v="Fully Meets"/>
    <n v="3.96"/>
    <n v="4"/>
    <n v="0"/>
    <x v="19"/>
    <n v="0"/>
    <n v="6"/>
  </r>
  <r>
    <x v="64"/>
    <x v="64"/>
    <n v="56991"/>
    <s v="Production Technician I"/>
    <s v="MA"/>
    <n v="2138"/>
    <d v="1988-04-15T00:00:00"/>
    <x v="0"/>
    <s v="Married"/>
    <x v="0"/>
    <x v="64"/>
    <n v="23"/>
    <m/>
    <s v=""/>
    <s v="N/A-StillEmployed"/>
    <s v="Active"/>
    <x v="0"/>
    <x v="8"/>
    <x v="1"/>
    <s v="Fully Meets"/>
    <n v="4.3"/>
    <n v="4"/>
    <n v="3"/>
    <x v="43"/>
    <n v="2"/>
    <n v="2"/>
  </r>
  <r>
    <x v="65"/>
    <x v="65"/>
    <n v="55722"/>
    <s v="Production Technician I"/>
    <s v="MA"/>
    <n v="1810"/>
    <d v="1977-10-31T00:00:00"/>
    <x v="0"/>
    <s v="Married"/>
    <x v="0"/>
    <x v="65"/>
    <n v="33"/>
    <d v="2016-06-08T00:00:00"/>
    <n v="4"/>
    <s v="unhappy"/>
    <s v="Voluntarily Terminated"/>
    <x v="0"/>
    <x v="4"/>
    <x v="1"/>
    <s v="Fully Meets"/>
    <n v="5"/>
    <n v="4"/>
    <n v="0"/>
    <x v="44"/>
    <n v="0"/>
    <n v="14"/>
  </r>
  <r>
    <x v="66"/>
    <x v="66"/>
    <n v="101199"/>
    <s v="Software Engineer"/>
    <s v="MA"/>
    <n v="2176"/>
    <d v="1979-07-05T00:00:00"/>
    <x v="1"/>
    <s v="Single"/>
    <x v="1"/>
    <x v="66"/>
    <n v="32"/>
    <m/>
    <s v=""/>
    <s v="N/A-StillEmployed"/>
    <s v="Active"/>
    <x v="2"/>
    <x v="6"/>
    <x v="6"/>
    <s v="Fully Meets"/>
    <n v="3.79"/>
    <n v="5"/>
    <n v="5"/>
    <x v="8"/>
    <n v="0"/>
    <n v="8"/>
  </r>
  <r>
    <x v="67"/>
    <x v="67"/>
    <n v="61568"/>
    <s v="Area Sales Manager"/>
    <s v="AL"/>
    <n v="36006"/>
    <d v="1975-11-02T00:00:00"/>
    <x v="0"/>
    <s v="Single"/>
    <x v="2"/>
    <x v="67"/>
    <n v="35"/>
    <m/>
    <s v=""/>
    <s v="N/A-StillEmployed"/>
    <s v="Active"/>
    <x v="4"/>
    <x v="14"/>
    <x v="1"/>
    <s v="PIP"/>
    <n v="1.93"/>
    <n v="3"/>
    <n v="0"/>
    <x v="30"/>
    <n v="6"/>
    <n v="5"/>
  </r>
  <r>
    <x v="68"/>
    <x v="68"/>
    <n v="58275"/>
    <s v="Production Technician II"/>
    <s v="MA"/>
    <n v="2343"/>
    <d v="1951-02-25T00:00:00"/>
    <x v="1"/>
    <s v="Separated"/>
    <x v="1"/>
    <x v="68"/>
    <n v="60"/>
    <d v="2015-11-04T00:00:00"/>
    <n v="4"/>
    <s v="more money"/>
    <s v="Voluntarily Terminated"/>
    <x v="0"/>
    <x v="11"/>
    <x v="2"/>
    <s v="Fully Meets"/>
    <n v="4.62"/>
    <n v="5"/>
    <n v="0"/>
    <x v="45"/>
    <n v="0"/>
    <n v="1"/>
  </r>
  <r>
    <x v="69"/>
    <x v="69"/>
    <n v="53189"/>
    <s v="Production Technician I"/>
    <s v="MA"/>
    <n v="2061"/>
    <d v="1967-04-19T00:00:00"/>
    <x v="0"/>
    <s v="Married"/>
    <x v="0"/>
    <x v="69"/>
    <n v="44"/>
    <m/>
    <s v=""/>
    <s v="N/A-StillEmployed"/>
    <s v="Active"/>
    <x v="0"/>
    <x v="5"/>
    <x v="1"/>
    <s v="PIP"/>
    <n v="1.1200000000000001"/>
    <n v="2"/>
    <n v="0"/>
    <x v="43"/>
    <n v="4"/>
    <n v="9"/>
  </r>
  <r>
    <x v="70"/>
    <x v="70"/>
    <n v="96820"/>
    <s v="BI Developer"/>
    <s v="MA"/>
    <n v="2045"/>
    <d v="1983-09-04T00:00:00"/>
    <x v="0"/>
    <s v="Single"/>
    <x v="0"/>
    <x v="70"/>
    <n v="28"/>
    <m/>
    <s v=""/>
    <s v="N/A-StillEmployed"/>
    <s v="Active"/>
    <x v="1"/>
    <x v="19"/>
    <x v="1"/>
    <s v="Fully Meets"/>
    <n v="3.01"/>
    <n v="5"/>
    <n v="7"/>
    <x v="46"/>
    <n v="0"/>
    <n v="15"/>
  </r>
  <r>
    <x v="71"/>
    <x v="71"/>
    <n v="51259"/>
    <s v="Production Technician I"/>
    <s v="MA"/>
    <n v="2180"/>
    <d v="1982-11-15T00:00:00"/>
    <x v="0"/>
    <s v="Single"/>
    <x v="0"/>
    <x v="71"/>
    <n v="28"/>
    <m/>
    <s v=""/>
    <s v="N/A-StillEmployed"/>
    <s v="Active"/>
    <x v="0"/>
    <x v="7"/>
    <x v="1"/>
    <s v="Fully Meets"/>
    <n v="4.3"/>
    <n v="4"/>
    <n v="0"/>
    <x v="32"/>
    <n v="0"/>
    <n v="1"/>
  </r>
  <r>
    <x v="72"/>
    <x v="72"/>
    <n v="59231"/>
    <s v="Area Sales Manager"/>
    <s v="WA"/>
    <n v="98052"/>
    <d v="1987-05-14T00:00:00"/>
    <x v="1"/>
    <s v="Single"/>
    <x v="0"/>
    <x v="72"/>
    <n v="24"/>
    <m/>
    <s v=""/>
    <s v="N/A-StillEmployed"/>
    <s v="Active"/>
    <x v="4"/>
    <x v="14"/>
    <x v="7"/>
    <s v="PIP"/>
    <n v="2.2999999999999998"/>
    <n v="1"/>
    <n v="0"/>
    <x v="47"/>
    <n v="2"/>
    <n v="17"/>
  </r>
  <r>
    <x v="73"/>
    <x v="73"/>
    <n v="61584"/>
    <s v="Production Technician I"/>
    <s v="MA"/>
    <n v="2351"/>
    <d v="1978-12-02T00:00:00"/>
    <x v="1"/>
    <s v="Married"/>
    <x v="1"/>
    <x v="73"/>
    <n v="32"/>
    <m/>
    <s v=""/>
    <s v="N/A-StillEmployed"/>
    <s v="Active"/>
    <x v="0"/>
    <x v="8"/>
    <x v="1"/>
    <s v="Needs Improvement"/>
    <n v="3.88"/>
    <n v="4"/>
    <n v="0"/>
    <x v="48"/>
    <n v="0"/>
    <n v="6"/>
  </r>
  <r>
    <x v="74"/>
    <x v="74"/>
    <n v="46335"/>
    <s v="Production Technician I"/>
    <s v="MA"/>
    <n v="2125"/>
    <d v="1986-10-07T00:00:00"/>
    <x v="1"/>
    <s v="Single"/>
    <x v="0"/>
    <x v="74"/>
    <n v="24"/>
    <m/>
    <s v=""/>
    <s v="N/A-StillEmployed"/>
    <s v="Active"/>
    <x v="0"/>
    <x v="10"/>
    <x v="6"/>
    <s v="Fully Meets"/>
    <n v="3.4"/>
    <n v="5"/>
    <n v="0"/>
    <x v="32"/>
    <n v="0"/>
    <n v="15"/>
  </r>
  <r>
    <x v="75"/>
    <x v="75"/>
    <n v="70621"/>
    <s v="IT Support"/>
    <s v="MA"/>
    <n v="2119"/>
    <d v="1988-07-18T00:00:00"/>
    <x v="1"/>
    <s v="Married"/>
    <x v="0"/>
    <x v="75"/>
    <n v="23"/>
    <m/>
    <s v=""/>
    <s v="N/A-StillEmployed"/>
    <s v="Active"/>
    <x v="1"/>
    <x v="9"/>
    <x v="3"/>
    <s v="Fully Meets"/>
    <n v="4.1100000000000003"/>
    <n v="4"/>
    <n v="6"/>
    <x v="7"/>
    <n v="0"/>
    <n v="16"/>
  </r>
  <r>
    <x v="76"/>
    <x v="76"/>
    <n v="138888"/>
    <s v="IT Manager - Support"/>
    <s v="MA"/>
    <n v="1886"/>
    <d v="1970-07-09T00:00:00"/>
    <x v="0"/>
    <s v="Single"/>
    <x v="1"/>
    <x v="76"/>
    <n v="41"/>
    <m/>
    <s v=""/>
    <s v="N/A-StillEmployed"/>
    <s v="Active"/>
    <x v="1"/>
    <x v="15"/>
    <x v="1"/>
    <s v="Exceeds"/>
    <n v="4.3"/>
    <n v="5"/>
    <n v="5"/>
    <x v="49"/>
    <n v="0"/>
    <n v="4"/>
  </r>
  <r>
    <x v="77"/>
    <x v="77"/>
    <n v="74241"/>
    <s v="Area Sales Manager"/>
    <s v="CA"/>
    <n v="90007"/>
    <d v="1988-11-08T00:00:00"/>
    <x v="1"/>
    <s v="Single"/>
    <x v="0"/>
    <x v="77"/>
    <n v="22"/>
    <m/>
    <s v=""/>
    <s v="N/A-StillEmployed"/>
    <s v="Active"/>
    <x v="4"/>
    <x v="16"/>
    <x v="1"/>
    <s v="Exceeds"/>
    <n v="4.7699999999999996"/>
    <n v="5"/>
    <n v="0"/>
    <x v="50"/>
    <n v="0"/>
    <n v="14"/>
  </r>
  <r>
    <x v="78"/>
    <x v="78"/>
    <n v="75188"/>
    <s v="Production Manager"/>
    <s v="MA"/>
    <n v="1731"/>
    <d v="1973-11-28T00:00:00"/>
    <x v="1"/>
    <s v="Single"/>
    <x v="0"/>
    <x v="78"/>
    <n v="37"/>
    <m/>
    <s v=""/>
    <s v="N/A-StillEmployed"/>
    <s v="Active"/>
    <x v="0"/>
    <x v="13"/>
    <x v="2"/>
    <s v="Fully Meets"/>
    <n v="4.5199999999999996"/>
    <n v="4"/>
    <n v="0"/>
    <x v="24"/>
    <n v="0"/>
    <n v="4"/>
  </r>
  <r>
    <x v="79"/>
    <x v="79"/>
    <n v="62514"/>
    <s v="Production Technician I"/>
    <s v="MA"/>
    <n v="1749"/>
    <d v="1973-09-23T00:00:00"/>
    <x v="1"/>
    <s v="Married"/>
    <x v="0"/>
    <x v="79"/>
    <n v="37"/>
    <m/>
    <s v=""/>
    <s v="N/A-StillEmployed"/>
    <s v="Active"/>
    <x v="0"/>
    <x v="7"/>
    <x v="2"/>
    <s v="Fully Meets"/>
    <n v="2.9"/>
    <n v="3"/>
    <n v="0"/>
    <x v="26"/>
    <n v="0"/>
    <n v="6"/>
  </r>
  <r>
    <x v="80"/>
    <x v="80"/>
    <n v="60070"/>
    <s v="Production Technician I"/>
    <s v="MA"/>
    <n v="2343"/>
    <d v="1991-09-05T00:00:00"/>
    <x v="1"/>
    <s v="Married"/>
    <x v="0"/>
    <x v="80"/>
    <n v="20"/>
    <d v="2017-06-06T00:00:00"/>
    <n v="5"/>
    <s v="military"/>
    <s v="Voluntarily Terminated"/>
    <x v="0"/>
    <x v="2"/>
    <x v="2"/>
    <s v="Fully Meets"/>
    <n v="5"/>
    <n v="3"/>
    <n v="0"/>
    <x v="51"/>
    <n v="0"/>
    <n v="7"/>
  </r>
  <r>
    <x v="81"/>
    <x v="81"/>
    <n v="48888"/>
    <s v="Production Technician I"/>
    <s v="MA"/>
    <n v="2026"/>
    <d v="1974-05-31T00:00:00"/>
    <x v="0"/>
    <s v="Single"/>
    <x v="0"/>
    <x v="81"/>
    <n v="37"/>
    <m/>
    <s v=""/>
    <s v="N/A-StillEmployed"/>
    <s v="Active"/>
    <x v="0"/>
    <x v="11"/>
    <x v="0"/>
    <s v="Fully Meets"/>
    <n v="4.7"/>
    <n v="5"/>
    <n v="0"/>
    <x v="52"/>
    <n v="0"/>
    <n v="8"/>
  </r>
  <r>
    <x v="82"/>
    <x v="82"/>
    <n v="54285"/>
    <s v="Production Technician I"/>
    <s v="MA"/>
    <n v="2045"/>
    <d v="1978-08-25T00:00:00"/>
    <x v="0"/>
    <s v="Married"/>
    <x v="0"/>
    <x v="82"/>
    <n v="33"/>
    <m/>
    <s v=""/>
    <s v="N/A-StillEmployed"/>
    <s v="Active"/>
    <x v="0"/>
    <x v="11"/>
    <x v="3"/>
    <s v="Fully Meets"/>
    <n v="4.2"/>
    <n v="3"/>
    <n v="0"/>
    <x v="17"/>
    <n v="0"/>
    <n v="3"/>
  </r>
  <r>
    <x v="83"/>
    <x v="83"/>
    <n v="56847"/>
    <s v="Production Technician II"/>
    <s v="MA"/>
    <n v="2133"/>
    <d v="1989-08-25T00:00:00"/>
    <x v="1"/>
    <s v="Separated"/>
    <x v="0"/>
    <x v="83"/>
    <n v="22"/>
    <m/>
    <s v=""/>
    <s v="N/A-StillEmployed"/>
    <s v="Active"/>
    <x v="0"/>
    <x v="0"/>
    <x v="1"/>
    <s v="PIP"/>
    <n v="3"/>
    <n v="1"/>
    <n v="0"/>
    <x v="7"/>
    <n v="2"/>
    <n v="5"/>
  </r>
  <r>
    <x v="84"/>
    <x v="84"/>
    <n v="60340"/>
    <s v="Production Technician I"/>
    <s v="MA"/>
    <n v="2129"/>
    <d v="1983-09-02T00:00:00"/>
    <x v="0"/>
    <s v="Single"/>
    <x v="0"/>
    <x v="84"/>
    <n v="28"/>
    <d v="2018-09-27T00:00:00"/>
    <n v="7"/>
    <s v="attendance"/>
    <s v="Terminated for Cause"/>
    <x v="0"/>
    <x v="0"/>
    <x v="2"/>
    <s v="Needs Improvement"/>
    <n v="5"/>
    <n v="4"/>
    <n v="0"/>
    <x v="53"/>
    <n v="5"/>
    <n v="16"/>
  </r>
  <r>
    <x v="85"/>
    <x v="85"/>
    <n v="59124"/>
    <s v="Production Technician I"/>
    <s v="MA"/>
    <n v="2458"/>
    <d v="1989-05-06T00:00:00"/>
    <x v="1"/>
    <s v="Single"/>
    <x v="0"/>
    <x v="85"/>
    <n v="22"/>
    <d v="2018-02-25T00:00:00"/>
    <n v="6"/>
    <s v="no-call, no-show"/>
    <s v="Terminated for Cause"/>
    <x v="0"/>
    <x v="3"/>
    <x v="2"/>
    <s v="Needs Improvement"/>
    <n v="2.2999999999999998"/>
    <n v="3"/>
    <n v="0"/>
    <x v="54"/>
    <n v="5"/>
    <n v="19"/>
  </r>
  <r>
    <x v="86"/>
    <x v="86"/>
    <n v="99280"/>
    <s v="Software Engineer"/>
    <s v="MA"/>
    <n v="1749"/>
    <d v="1987-05-15T00:00:00"/>
    <x v="1"/>
    <s v="Married"/>
    <x v="1"/>
    <x v="86"/>
    <n v="24"/>
    <d v="2013-06-05T00:00:00"/>
    <n v="1"/>
    <s v="attendance"/>
    <s v="Terminated for Cause"/>
    <x v="2"/>
    <x v="6"/>
    <x v="1"/>
    <s v="Needs Improvement"/>
    <n v="2.1"/>
    <n v="5"/>
    <n v="4"/>
    <x v="55"/>
    <n v="4"/>
    <n v="19"/>
  </r>
  <r>
    <x v="87"/>
    <x v="87"/>
    <n v="71776"/>
    <s v="Production Technician II"/>
    <s v="MA"/>
    <n v="1824"/>
    <d v="1978-09-22T00:00:00"/>
    <x v="1"/>
    <s v="Married"/>
    <x v="1"/>
    <x v="87"/>
    <n v="33"/>
    <m/>
    <s v=""/>
    <s v="N/A-StillEmployed"/>
    <s v="Active"/>
    <x v="0"/>
    <x v="3"/>
    <x v="0"/>
    <s v="Fully Meets"/>
    <n v="4.4000000000000004"/>
    <n v="5"/>
    <n v="0"/>
    <x v="29"/>
    <n v="0"/>
    <n v="17"/>
  </r>
  <r>
    <x v="88"/>
    <x v="88"/>
    <n v="65902"/>
    <s v="Production Technician II"/>
    <s v="MA"/>
    <n v="2324"/>
    <d v="1987-09-27T00:00:00"/>
    <x v="1"/>
    <s v="Single"/>
    <x v="1"/>
    <x v="88"/>
    <n v="24"/>
    <m/>
    <s v=""/>
    <s v="N/A-StillEmployed"/>
    <s v="Active"/>
    <x v="0"/>
    <x v="4"/>
    <x v="0"/>
    <s v="Fully Meets"/>
    <n v="4"/>
    <n v="4"/>
    <n v="0"/>
    <x v="5"/>
    <n v="0"/>
    <n v="7"/>
  </r>
  <r>
    <x v="89"/>
    <x v="89"/>
    <n v="57748"/>
    <s v="Production Technician I"/>
    <s v="MA"/>
    <n v="2176"/>
    <d v="1955-04-14T00:00:00"/>
    <x v="1"/>
    <s v="Married"/>
    <x v="0"/>
    <x v="89"/>
    <n v="56"/>
    <d v="2016-05-17T00:00:00"/>
    <n v="4"/>
    <s v="military"/>
    <s v="Voluntarily Terminated"/>
    <x v="0"/>
    <x v="4"/>
    <x v="2"/>
    <s v="Fully Meets"/>
    <n v="3.13"/>
    <n v="3"/>
    <n v="0"/>
    <x v="56"/>
    <n v="0"/>
    <n v="16"/>
  </r>
  <r>
    <x v="90"/>
    <x v="90"/>
    <n v="64057"/>
    <s v="Production Technician I"/>
    <s v="MA"/>
    <n v="2132"/>
    <d v="1989-10-18T00:00:00"/>
    <x v="0"/>
    <s v="Married"/>
    <x v="0"/>
    <x v="90"/>
    <n v="21"/>
    <m/>
    <s v=""/>
    <s v="N/A-StillEmployed"/>
    <s v="Active"/>
    <x v="0"/>
    <x v="5"/>
    <x v="1"/>
    <s v="PIP"/>
    <n v="1.56"/>
    <n v="5"/>
    <n v="0"/>
    <x v="3"/>
    <n v="6"/>
    <n v="15"/>
  </r>
  <r>
    <x v="91"/>
    <x v="91"/>
    <n v="53366"/>
    <s v="Network Engineer"/>
    <s v="MA"/>
    <n v="2138"/>
    <d v="1987-06-18T00:00:00"/>
    <x v="0"/>
    <s v="Single"/>
    <x v="0"/>
    <x v="91"/>
    <n v="24"/>
    <m/>
    <s v=""/>
    <s v="N/A-StillEmployed"/>
    <s v="Active"/>
    <x v="1"/>
    <x v="9"/>
    <x v="0"/>
    <s v="PIP"/>
    <n v="1.2"/>
    <n v="3"/>
    <n v="6"/>
    <x v="39"/>
    <n v="3"/>
    <n v="2"/>
  </r>
  <r>
    <x v="92"/>
    <x v="92"/>
    <n v="58530"/>
    <s v="Production Technician I"/>
    <s v="MA"/>
    <n v="2155"/>
    <d v="1981-03-16T00:00:00"/>
    <x v="1"/>
    <s v="Married"/>
    <x v="0"/>
    <x v="92"/>
    <n v="30"/>
    <m/>
    <s v=""/>
    <s v="N/A-StillEmployed"/>
    <s v="Active"/>
    <x v="0"/>
    <x v="8"/>
    <x v="2"/>
    <s v="Fully Meets"/>
    <n v="5"/>
    <n v="5"/>
    <n v="0"/>
    <x v="47"/>
    <n v="0"/>
    <n v="19"/>
  </r>
  <r>
    <x v="93"/>
    <x v="93"/>
    <n v="72609"/>
    <s v="Production Technician II"/>
    <s v="MA"/>
    <n v="2143"/>
    <d v="1981-10-01T00:00:00"/>
    <x v="0"/>
    <s v="Single"/>
    <x v="0"/>
    <x v="93"/>
    <n v="30"/>
    <d v="2013-06-24T00:00:00"/>
    <n v="1"/>
    <s v="hours"/>
    <s v="Voluntarily Terminated"/>
    <x v="0"/>
    <x v="5"/>
    <x v="2"/>
    <s v="Fully Meets"/>
    <n v="4.76"/>
    <n v="5"/>
    <n v="0"/>
    <x v="57"/>
    <n v="0"/>
    <n v="20"/>
  </r>
  <r>
    <x v="94"/>
    <x v="94"/>
    <n v="55965"/>
    <s v="Production Technician II"/>
    <s v="MA"/>
    <n v="2170"/>
    <d v="1983-11-08T00:00:00"/>
    <x v="1"/>
    <s v="Married"/>
    <x v="0"/>
    <x v="94"/>
    <n v="27"/>
    <d v="2013-01-09T00:00:00"/>
    <n v="1"/>
    <s v="career change"/>
    <s v="Voluntarily Terminated"/>
    <x v="0"/>
    <x v="7"/>
    <x v="2"/>
    <s v="Fully Meets"/>
    <n v="3.66"/>
    <n v="3"/>
    <n v="0"/>
    <x v="58"/>
    <n v="0"/>
    <n v="6"/>
  </r>
  <r>
    <x v="95"/>
    <x v="95"/>
    <n v="70187"/>
    <s v="Area Sales Manager"/>
    <s v="MA"/>
    <n v="2330"/>
    <d v="1975-07-07T00:00:00"/>
    <x v="0"/>
    <s v="Married"/>
    <x v="0"/>
    <x v="95"/>
    <n v="36"/>
    <d v="2018-08-19T00:00:00"/>
    <n v="6"/>
    <s v="Fatal attraction"/>
    <s v="Terminated for Cause"/>
    <x v="4"/>
    <x v="16"/>
    <x v="3"/>
    <s v="PIP"/>
    <n v="2"/>
    <n v="5"/>
    <n v="0"/>
    <x v="41"/>
    <n v="4"/>
    <n v="7"/>
  </r>
  <r>
    <x v="96"/>
    <x v="96"/>
    <n v="178000"/>
    <s v="IT Director"/>
    <s v="MA"/>
    <n v="1460"/>
    <d v="1980-07-05T00:00:00"/>
    <x v="0"/>
    <s v="Single"/>
    <x v="1"/>
    <x v="96"/>
    <n v="31"/>
    <m/>
    <s v=""/>
    <s v="N/A-StillEmployed"/>
    <s v="Active"/>
    <x v="1"/>
    <x v="15"/>
    <x v="1"/>
    <s v="Exceeds"/>
    <n v="5"/>
    <n v="5"/>
    <n v="5"/>
    <x v="5"/>
    <n v="0"/>
    <n v="15"/>
  </r>
  <r>
    <x v="97"/>
    <x v="97"/>
    <n v="99351"/>
    <s v="Sr. Accountant"/>
    <s v="MA"/>
    <n v="2050"/>
    <d v="1979-04-16T00:00:00"/>
    <x v="1"/>
    <s v="Married"/>
    <x v="0"/>
    <x v="97"/>
    <n v="32"/>
    <m/>
    <s v=""/>
    <s v="N/A-StillEmployed"/>
    <s v="Active"/>
    <x v="3"/>
    <x v="20"/>
    <x v="8"/>
    <s v="Fully Meets"/>
    <n v="5"/>
    <n v="3"/>
    <n v="2"/>
    <x v="59"/>
    <n v="0"/>
    <n v="3"/>
  </r>
  <r>
    <x v="98"/>
    <x v="98"/>
    <n v="67251"/>
    <s v="Area Sales Manager"/>
    <s v="CT"/>
    <n v="6050"/>
    <d v="1963-08-28T00:00:00"/>
    <x v="0"/>
    <s v="Single"/>
    <x v="1"/>
    <x v="98"/>
    <n v="48"/>
    <m/>
    <s v=""/>
    <s v="N/A-StillEmployed"/>
    <s v="Active"/>
    <x v="4"/>
    <x v="16"/>
    <x v="6"/>
    <s v="Fully Meets"/>
    <n v="4.3"/>
    <n v="3"/>
    <n v="0"/>
    <x v="50"/>
    <n v="2"/>
    <n v="7"/>
  </r>
  <r>
    <x v="99"/>
    <x v="99"/>
    <n v="65707"/>
    <s v="IT Support"/>
    <s v="CT"/>
    <n v="6040"/>
    <d v="1968-07-06T00:00:00"/>
    <x v="1"/>
    <s v="Single"/>
    <x v="0"/>
    <x v="99"/>
    <n v="43"/>
    <m/>
    <s v=""/>
    <s v="N/A-StillEmployed"/>
    <s v="Active"/>
    <x v="1"/>
    <x v="17"/>
    <x v="0"/>
    <s v="Fully Meets"/>
    <n v="4.7"/>
    <n v="4"/>
    <n v="5"/>
    <x v="25"/>
    <n v="0"/>
    <n v="1"/>
  </r>
  <r>
    <x v="100"/>
    <x v="100"/>
    <n v="52249"/>
    <s v="Production Technician I"/>
    <s v="MA"/>
    <n v="1905"/>
    <d v="1985-09-15T00:00:00"/>
    <x v="0"/>
    <s v="Single"/>
    <x v="0"/>
    <x v="100"/>
    <n v="26"/>
    <m/>
    <s v=""/>
    <s v="N/A-StillEmployed"/>
    <s v="Active"/>
    <x v="0"/>
    <x v="10"/>
    <x v="3"/>
    <s v="Fully Meets"/>
    <n v="4.5"/>
    <n v="3"/>
    <n v="0"/>
    <x v="9"/>
    <n v="0"/>
    <n v="5"/>
  </r>
  <r>
    <x v="101"/>
    <x v="101"/>
    <n v="53171"/>
    <s v="Production Technician I"/>
    <s v="MA"/>
    <n v="2121"/>
    <d v="1983-12-02T00:00:00"/>
    <x v="1"/>
    <s v="Single"/>
    <x v="1"/>
    <x v="101"/>
    <n v="27"/>
    <m/>
    <s v=""/>
    <s v="N/A-StillEmployed"/>
    <s v="Active"/>
    <x v="0"/>
    <x v="11"/>
    <x v="0"/>
    <s v="Fully Meets"/>
    <n v="4.2"/>
    <n v="4"/>
    <n v="0"/>
    <x v="60"/>
    <n v="0"/>
    <n v="12"/>
  </r>
  <r>
    <x v="102"/>
    <x v="102"/>
    <n v="51337"/>
    <s v="Production Technician I"/>
    <s v="MA"/>
    <n v="2145"/>
    <d v="1990-10-01T00:00:00"/>
    <x v="1"/>
    <s v="Married"/>
    <x v="1"/>
    <x v="102"/>
    <n v="21"/>
    <m/>
    <s v=""/>
    <s v="N/A-StillEmployed"/>
    <s v="Active"/>
    <x v="0"/>
    <x v="0"/>
    <x v="0"/>
    <s v="Fully Meets"/>
    <n v="3.73"/>
    <n v="3"/>
    <n v="0"/>
    <x v="61"/>
    <n v="0"/>
    <n v="19"/>
  </r>
  <r>
    <x v="103"/>
    <x v="103"/>
    <n v="51505"/>
    <s v="Production Technician I"/>
    <s v="MA"/>
    <n v="2330"/>
    <d v="1970-05-15T00:00:00"/>
    <x v="1"/>
    <s v="Divorced"/>
    <x v="1"/>
    <x v="103"/>
    <n v="41"/>
    <d v="2016-11-15T00:00:00"/>
    <n v="5"/>
    <s v="hours"/>
    <s v="Voluntarily Terminated"/>
    <x v="0"/>
    <x v="3"/>
    <x v="4"/>
    <s v="Fully Meets"/>
    <n v="4.24"/>
    <n v="4"/>
    <n v="0"/>
    <x v="62"/>
    <n v="0"/>
    <n v="2"/>
  </r>
  <r>
    <x v="104"/>
    <x v="104"/>
    <n v="59370"/>
    <s v="Area Sales Manager"/>
    <s v="OH"/>
    <n v="43050"/>
    <d v="1971-07-10T00:00:00"/>
    <x v="1"/>
    <s v="Widowed"/>
    <x v="1"/>
    <x v="104"/>
    <n v="40"/>
    <d v="2015-09-05T00:00:00"/>
    <n v="3"/>
    <s v="attendance"/>
    <s v="Terminated for Cause"/>
    <x v="4"/>
    <x v="14"/>
    <x v="6"/>
    <s v="Fully Meets"/>
    <n v="3.97"/>
    <n v="4"/>
    <n v="0"/>
    <x v="63"/>
    <n v="0"/>
    <n v="7"/>
  </r>
  <r>
    <x v="105"/>
    <x v="105"/>
    <n v="54933"/>
    <s v="Production Technician I"/>
    <s v="MA"/>
    <n v="2062"/>
    <d v="1974-08-09T00:00:00"/>
    <x v="0"/>
    <s v="Married"/>
    <x v="1"/>
    <x v="105"/>
    <n v="37"/>
    <d v="2015-06-25T00:00:00"/>
    <n v="3"/>
    <s v="military"/>
    <s v="Voluntarily Terminated"/>
    <x v="0"/>
    <x v="4"/>
    <x v="4"/>
    <s v="Needs Improvement"/>
    <n v="3.97"/>
    <n v="4"/>
    <n v="0"/>
    <x v="64"/>
    <n v="3"/>
    <n v="15"/>
  </r>
  <r>
    <x v="106"/>
    <x v="106"/>
    <n v="57815"/>
    <s v="Production Technician I"/>
    <s v="MA"/>
    <n v="2451"/>
    <d v="1980-05-08T00:00:00"/>
    <x v="1"/>
    <s v="Single"/>
    <x v="2"/>
    <x v="106"/>
    <n v="31"/>
    <m/>
    <s v=""/>
    <s v="N/A-StillEmployed"/>
    <s v="Active"/>
    <x v="0"/>
    <x v="5"/>
    <x v="1"/>
    <s v="Exceeds"/>
    <n v="3.9"/>
    <n v="4"/>
    <n v="0"/>
    <x v="65"/>
    <n v="0"/>
    <n v="3"/>
  </r>
  <r>
    <x v="107"/>
    <x v="107"/>
    <n v="61555"/>
    <s v="Area Sales Manager"/>
    <s v="IN"/>
    <n v="46204"/>
    <d v="1989-09-22T00:00:00"/>
    <x v="1"/>
    <s v="Single"/>
    <x v="0"/>
    <x v="107"/>
    <n v="22"/>
    <m/>
    <s v=""/>
    <s v="N/A-StillEmployed"/>
    <s v="Active"/>
    <x v="4"/>
    <x v="16"/>
    <x v="1"/>
    <s v="Fully Meets"/>
    <n v="4.5"/>
    <n v="5"/>
    <n v="0"/>
    <x v="8"/>
    <n v="0"/>
    <n v="20"/>
  </r>
  <r>
    <x v="108"/>
    <x v="108"/>
    <n v="114800"/>
    <s v="Database Administrator"/>
    <s v="MA"/>
    <n v="2127"/>
    <d v="1971-10-23T00:00:00"/>
    <x v="1"/>
    <s v="Single"/>
    <x v="0"/>
    <x v="108"/>
    <n v="39"/>
    <d v="2015-03-15T00:00:00"/>
    <n v="3"/>
    <s v="no-call, no-show"/>
    <s v="Terminated for Cause"/>
    <x v="1"/>
    <x v="1"/>
    <x v="1"/>
    <s v="Fully Meets"/>
    <n v="4.5999999999999996"/>
    <n v="4"/>
    <n v="4"/>
    <x v="64"/>
    <n v="0"/>
    <n v="10"/>
  </r>
  <r>
    <x v="109"/>
    <x v="109"/>
    <n v="74679"/>
    <s v="IT Support"/>
    <s v="MA"/>
    <n v="2135"/>
    <d v="1989-11-24T00:00:00"/>
    <x v="0"/>
    <s v="Married"/>
    <x v="0"/>
    <x v="109"/>
    <n v="21"/>
    <m/>
    <s v=""/>
    <s v="N/A-StillEmployed"/>
    <s v="Active"/>
    <x v="1"/>
    <x v="9"/>
    <x v="0"/>
    <s v="Fully Meets"/>
    <n v="4.3"/>
    <n v="5"/>
    <n v="7"/>
    <x v="18"/>
    <n v="0"/>
    <n v="20"/>
  </r>
  <r>
    <x v="110"/>
    <x v="110"/>
    <n v="53018"/>
    <s v="Production Technician I"/>
    <s v="MA"/>
    <n v="2451"/>
    <d v="1992-06-18T00:00:00"/>
    <x v="1"/>
    <s v="Single"/>
    <x v="0"/>
    <x v="110"/>
    <n v="19"/>
    <m/>
    <s v=""/>
    <s v="N/A-StillEmployed"/>
    <s v="Active"/>
    <x v="0"/>
    <x v="7"/>
    <x v="1"/>
    <s v="Fully Meets"/>
    <n v="4.3"/>
    <n v="5"/>
    <n v="0"/>
    <x v="9"/>
    <n v="0"/>
    <n v="7"/>
  </r>
  <r>
    <x v="111"/>
    <x v="111"/>
    <n v="59892"/>
    <s v="Production Technician I"/>
    <s v="MA"/>
    <n v="2108"/>
    <d v="1969-09-29T00:00:00"/>
    <x v="0"/>
    <s v="Divorced"/>
    <x v="1"/>
    <x v="111"/>
    <n v="42"/>
    <m/>
    <s v=""/>
    <s v="N/A-StillEmployed"/>
    <s v="Active"/>
    <x v="0"/>
    <x v="8"/>
    <x v="4"/>
    <s v="Exceeds"/>
    <n v="4.5"/>
    <n v="4"/>
    <n v="0"/>
    <x v="9"/>
    <n v="0"/>
    <n v="1"/>
  </r>
  <r>
    <x v="112"/>
    <x v="112"/>
    <n v="68898"/>
    <s v="Production Technician II"/>
    <s v="MA"/>
    <n v="2128"/>
    <d v="1964-10-12T00:00:00"/>
    <x v="0"/>
    <s v="Married"/>
    <x v="1"/>
    <x v="112"/>
    <n v="47"/>
    <d v="2011-05-30T00:00:00"/>
    <s v=""/>
    <s v="career change"/>
    <s v="Voluntarily Terminated"/>
    <x v="0"/>
    <x v="8"/>
    <x v="4"/>
    <s v="PIP"/>
    <n v="3"/>
    <n v="3"/>
    <n v="0"/>
    <x v="66"/>
    <n v="3"/>
    <n v="10"/>
  </r>
  <r>
    <x v="113"/>
    <x v="113"/>
    <n v="61242"/>
    <s v="IT Support"/>
    <s v="MA"/>
    <n v="2472"/>
    <d v="1981-04-16T00:00:00"/>
    <x v="1"/>
    <s v="Separated"/>
    <x v="0"/>
    <x v="113"/>
    <n v="30"/>
    <m/>
    <s v=""/>
    <s v="N/A-StillEmployed"/>
    <s v="Active"/>
    <x v="1"/>
    <x v="9"/>
    <x v="3"/>
    <s v="Fully Meets"/>
    <n v="4.6100000000000003"/>
    <n v="4"/>
    <n v="5"/>
    <x v="41"/>
    <n v="0"/>
    <n v="11"/>
  </r>
  <r>
    <x v="114"/>
    <x v="114"/>
    <n v="66825"/>
    <s v="Production Technician II"/>
    <s v="MA"/>
    <n v="1886"/>
    <d v="1986-05-25T00:00:00"/>
    <x v="1"/>
    <s v="Married"/>
    <x v="0"/>
    <x v="114"/>
    <n v="25"/>
    <m/>
    <s v=""/>
    <s v="N/A-StillEmployed"/>
    <s v="Active"/>
    <x v="0"/>
    <x v="10"/>
    <x v="0"/>
    <s v="Fully Meets"/>
    <n v="4.5999999999999996"/>
    <n v="3"/>
    <n v="0"/>
    <x v="65"/>
    <n v="0"/>
    <n v="20"/>
  </r>
  <r>
    <x v="115"/>
    <x v="115"/>
    <n v="48285"/>
    <s v="Production Technician I"/>
    <s v="MA"/>
    <n v="2169"/>
    <d v="1979-05-21T00:00:00"/>
    <x v="0"/>
    <s v="Married"/>
    <x v="0"/>
    <x v="115"/>
    <n v="32"/>
    <m/>
    <s v=""/>
    <s v="N/A-StillEmployed"/>
    <s v="Active"/>
    <x v="0"/>
    <x v="10"/>
    <x v="0"/>
    <s v="Fully Meets"/>
    <n v="5"/>
    <n v="3"/>
    <n v="0"/>
    <x v="15"/>
    <n v="0"/>
    <n v="2"/>
  </r>
  <r>
    <x v="116"/>
    <x v="116"/>
    <n v="66149"/>
    <s v="Production Technician II"/>
    <s v="MA"/>
    <n v="1824"/>
    <d v="1983-12-08T00:00:00"/>
    <x v="1"/>
    <s v="Separated"/>
    <x v="4"/>
    <x v="116"/>
    <n v="27"/>
    <m/>
    <s v=""/>
    <s v="N/A-StillEmployed"/>
    <s v="Active"/>
    <x v="0"/>
    <x v="2"/>
    <x v="2"/>
    <s v="Fully Meets"/>
    <n v="4.4000000000000004"/>
    <n v="5"/>
    <n v="0"/>
    <x v="28"/>
    <n v="0"/>
    <n v="1"/>
  </r>
  <r>
    <x v="117"/>
    <x v="117"/>
    <n v="49256"/>
    <s v="Production Technician I"/>
    <s v="MA"/>
    <n v="1864"/>
    <d v="1974-10-09T00:00:00"/>
    <x v="1"/>
    <s v="Married"/>
    <x v="3"/>
    <x v="117"/>
    <n v="37"/>
    <m/>
    <s v=""/>
    <s v="N/A-StillEmployed"/>
    <s v="Active"/>
    <x v="0"/>
    <x v="2"/>
    <x v="0"/>
    <s v="Fully Meets"/>
    <n v="4.0999999999999996"/>
    <n v="5"/>
    <n v="0"/>
    <x v="67"/>
    <n v="0"/>
    <n v="3"/>
  </r>
  <r>
    <x v="118"/>
    <x v="118"/>
    <n v="62957"/>
    <s v="Production Manager"/>
    <s v="MA"/>
    <n v="1752"/>
    <d v="1981-07-11T00:00:00"/>
    <x v="0"/>
    <s v="Divorced"/>
    <x v="0"/>
    <x v="118"/>
    <n v="30"/>
    <m/>
    <s v=""/>
    <s v="N/A-StillEmployed"/>
    <s v="Active"/>
    <x v="0"/>
    <x v="13"/>
    <x v="3"/>
    <s v="Fully Meets"/>
    <n v="4.63"/>
    <n v="3"/>
    <n v="0"/>
    <x v="49"/>
    <n v="0"/>
    <n v="2"/>
  </r>
  <r>
    <x v="119"/>
    <x v="119"/>
    <n v="63813"/>
    <s v="Production Technician I"/>
    <s v="MA"/>
    <n v="2176"/>
    <d v="1983-05-21T00:00:00"/>
    <x v="1"/>
    <s v="Divorced"/>
    <x v="0"/>
    <x v="119"/>
    <n v="28"/>
    <d v="2014-01-11T00:00:00"/>
    <n v="2"/>
    <s v="more money"/>
    <s v="Voluntarily Terminated"/>
    <x v="0"/>
    <x v="11"/>
    <x v="6"/>
    <s v="Fully Meets"/>
    <n v="5"/>
    <n v="5"/>
    <n v="0"/>
    <x v="68"/>
    <n v="0"/>
    <n v="17"/>
  </r>
  <r>
    <x v="120"/>
    <x v="120"/>
    <n v="99020"/>
    <s v="BI Developer"/>
    <s v="MA"/>
    <n v="2134"/>
    <d v="1989-06-30T00:00:00"/>
    <x v="0"/>
    <s v="Married"/>
    <x v="1"/>
    <x v="120"/>
    <n v="22"/>
    <m/>
    <s v=""/>
    <s v="N/A-StillEmployed"/>
    <s v="Active"/>
    <x v="1"/>
    <x v="19"/>
    <x v="1"/>
    <s v="Fully Meets"/>
    <n v="4.2"/>
    <n v="5"/>
    <n v="5"/>
    <x v="41"/>
    <n v="0"/>
    <n v="8"/>
  </r>
  <r>
    <x v="121"/>
    <x v="121"/>
    <n v="71707"/>
    <s v="Area Sales Manager"/>
    <s v="TN"/>
    <n v="37129"/>
    <d v="1969-02-09T00:00:00"/>
    <x v="0"/>
    <s v="Single"/>
    <x v="2"/>
    <x v="121"/>
    <n v="42"/>
    <d v="2014-10-31T00:00:00"/>
    <n v="2"/>
    <s v="relocation out of area"/>
    <s v="Voluntarily Terminated"/>
    <x v="4"/>
    <x v="14"/>
    <x v="0"/>
    <s v="Fully Meets"/>
    <n v="4.5"/>
    <n v="5"/>
    <n v="0"/>
    <x v="69"/>
    <n v="0"/>
    <n v="20"/>
  </r>
  <r>
    <x v="122"/>
    <x v="122"/>
    <n v="54828"/>
    <s v="Production Technician I"/>
    <s v="MA"/>
    <n v="2127"/>
    <d v="1977-03-23T00:00:00"/>
    <x v="1"/>
    <s v="Married"/>
    <x v="0"/>
    <x v="122"/>
    <n v="34"/>
    <m/>
    <s v=""/>
    <s v="N/A-StillEmployed"/>
    <s v="Active"/>
    <x v="0"/>
    <x v="0"/>
    <x v="2"/>
    <s v="Fully Meets"/>
    <n v="4.2"/>
    <n v="4"/>
    <n v="0"/>
    <x v="29"/>
    <n v="0"/>
    <n v="13"/>
  </r>
  <r>
    <x v="123"/>
    <x v="123"/>
    <n v="64246"/>
    <s v="Production Technician II"/>
    <s v="MA"/>
    <n v="2155"/>
    <d v="1988-08-10T00:00:00"/>
    <x v="0"/>
    <s v="Single"/>
    <x v="0"/>
    <x v="123"/>
    <n v="23"/>
    <m/>
    <s v=""/>
    <s v="N/A-StillEmployed"/>
    <s v="Active"/>
    <x v="0"/>
    <x v="11"/>
    <x v="0"/>
    <s v="Fully Meets"/>
    <n v="5"/>
    <n v="3"/>
    <n v="0"/>
    <x v="70"/>
    <n v="0"/>
    <n v="20"/>
  </r>
  <r>
    <x v="124"/>
    <x v="124"/>
    <n v="52177"/>
    <s v="Production Technician I"/>
    <s v="MA"/>
    <n v="2324"/>
    <d v="1952-08-18T00:00:00"/>
    <x v="1"/>
    <s v="Single"/>
    <x v="0"/>
    <x v="124"/>
    <n v="59"/>
    <d v="2015-12-15T00:00:00"/>
    <n v="4"/>
    <s v="retiring"/>
    <s v="Voluntarily Terminated"/>
    <x v="0"/>
    <x v="4"/>
    <x v="6"/>
    <s v="Fully Meets"/>
    <n v="4.6399999999999997"/>
    <n v="4"/>
    <n v="0"/>
    <x v="71"/>
    <n v="0"/>
    <n v="8"/>
  </r>
  <r>
    <x v="125"/>
    <x v="125"/>
    <n v="62065"/>
    <s v="Production Technician I"/>
    <s v="MA"/>
    <n v="1886"/>
    <d v="1974-05-02T00:00:00"/>
    <x v="1"/>
    <s v="Married"/>
    <x v="0"/>
    <x v="125"/>
    <n v="37"/>
    <m/>
    <s v=""/>
    <s v="N/A-StillEmployed"/>
    <s v="Active"/>
    <x v="0"/>
    <x v="5"/>
    <x v="6"/>
    <s v="Exceeds"/>
    <n v="4.76"/>
    <n v="4"/>
    <n v="0"/>
    <x v="67"/>
    <n v="0"/>
    <n v="5"/>
  </r>
  <r>
    <x v="126"/>
    <x v="126"/>
    <n v="46998"/>
    <s v="Production Technician I"/>
    <s v="MA"/>
    <n v="2149"/>
    <d v="1984-01-04T00:00:00"/>
    <x v="0"/>
    <s v="Single"/>
    <x v="0"/>
    <x v="126"/>
    <n v="27"/>
    <m/>
    <s v=""/>
    <s v="N/A-StillEmployed"/>
    <s v="Active"/>
    <x v="0"/>
    <x v="7"/>
    <x v="2"/>
    <s v="Fully Meets"/>
    <n v="4.17"/>
    <n v="4"/>
    <n v="0"/>
    <x v="72"/>
    <n v="0"/>
    <n v="1"/>
  </r>
  <r>
    <x v="127"/>
    <x v="127"/>
    <n v="68099"/>
    <s v="Production Technician II"/>
    <s v="MA"/>
    <n v="2021"/>
    <d v="1972-08-27T00:00:00"/>
    <x v="1"/>
    <s v="Single"/>
    <x v="0"/>
    <x v="127"/>
    <n v="39"/>
    <d v="2013-06-18T00:00:00"/>
    <n v="1"/>
    <s v="hours"/>
    <s v="Voluntarily Terminated"/>
    <x v="0"/>
    <x v="11"/>
    <x v="6"/>
    <s v="Fully Meets"/>
    <n v="5"/>
    <n v="3"/>
    <n v="0"/>
    <x v="73"/>
    <n v="0"/>
    <n v="15"/>
  </r>
  <r>
    <x v="128"/>
    <x v="128"/>
    <n v="70545"/>
    <s v="Area Sales Manager"/>
    <s v="NH"/>
    <n v="3062"/>
    <d v="1988-09-14T00:00:00"/>
    <x v="0"/>
    <s v="Married"/>
    <x v="4"/>
    <x v="128"/>
    <n v="23"/>
    <m/>
    <s v=""/>
    <s v="N/A-StillEmployed"/>
    <s v="Active"/>
    <x v="4"/>
    <x v="14"/>
    <x v="1"/>
    <s v="Fully Meets"/>
    <n v="3.6"/>
    <n v="5"/>
    <n v="0"/>
    <x v="30"/>
    <n v="0"/>
    <n v="9"/>
  </r>
  <r>
    <x v="129"/>
    <x v="129"/>
    <n v="63478"/>
    <s v="Production Technician II"/>
    <s v="MA"/>
    <n v="2445"/>
    <d v="1984-02-16T00:00:00"/>
    <x v="1"/>
    <s v="Married"/>
    <x v="0"/>
    <x v="129"/>
    <n v="27"/>
    <d v="2012-04-07T00:00:00"/>
    <n v="0"/>
    <s v="relocation out of area"/>
    <s v="Voluntarily Terminated"/>
    <x v="0"/>
    <x v="0"/>
    <x v="1"/>
    <s v="Fully Meets"/>
    <n v="3.03"/>
    <n v="5"/>
    <n v="0"/>
    <x v="74"/>
    <n v="0"/>
    <n v="16"/>
  </r>
  <r>
    <x v="130"/>
    <x v="130"/>
    <n v="97999"/>
    <s v="Database Administrator"/>
    <s v="MA"/>
    <n v="2493"/>
    <d v="1984-02-21T00:00:00"/>
    <x v="1"/>
    <s v="Single"/>
    <x v="0"/>
    <x v="130"/>
    <n v="27"/>
    <m/>
    <s v=""/>
    <s v="N/A-StillEmployed"/>
    <s v="Active"/>
    <x v="1"/>
    <x v="1"/>
    <x v="1"/>
    <s v="Fully Meets"/>
    <n v="4.4800000000000004"/>
    <n v="5"/>
    <n v="6"/>
    <x v="3"/>
    <n v="0"/>
    <n v="4"/>
  </r>
  <r>
    <x v="131"/>
    <x v="131"/>
    <n v="180000"/>
    <s v="Director of Sales"/>
    <s v="RI"/>
    <n v="2908"/>
    <d v="1966-03-17T00:00:00"/>
    <x v="1"/>
    <s v="Married"/>
    <x v="0"/>
    <x v="131"/>
    <n v="45"/>
    <m/>
    <s v=""/>
    <s v="N/A-StillEmployed"/>
    <s v="Active"/>
    <x v="4"/>
    <x v="13"/>
    <x v="0"/>
    <s v="Fully Meets"/>
    <n v="4.5"/>
    <n v="4"/>
    <n v="0"/>
    <x v="26"/>
    <n v="0"/>
    <n v="19"/>
  </r>
  <r>
    <x v="132"/>
    <x v="132"/>
    <n v="49920"/>
    <s v="Administrative Assistant"/>
    <s v="MA"/>
    <n v="2170"/>
    <d v="1985-09-16T00:00:00"/>
    <x v="1"/>
    <s v="Married"/>
    <x v="1"/>
    <x v="132"/>
    <n v="26"/>
    <d v="2015-04-15T00:00:00"/>
    <n v="3"/>
    <s v="no-call, no-show"/>
    <s v="Terminated for Cause"/>
    <x v="3"/>
    <x v="12"/>
    <x v="1"/>
    <s v="Fully Meets"/>
    <n v="3.24"/>
    <n v="3"/>
    <n v="4"/>
    <x v="75"/>
    <n v="0"/>
    <n v="6"/>
  </r>
  <r>
    <x v="133"/>
    <x v="133"/>
    <n v="55425"/>
    <s v="Production Technician I"/>
    <s v="MA"/>
    <n v="2176"/>
    <d v="1986-06-10T00:00:00"/>
    <x v="1"/>
    <s v="Single"/>
    <x v="0"/>
    <x v="133"/>
    <n v="25"/>
    <m/>
    <s v=""/>
    <s v="N/A-StillEmployed"/>
    <s v="Active"/>
    <x v="0"/>
    <x v="7"/>
    <x v="0"/>
    <s v="Fully Meets"/>
    <n v="4.8"/>
    <n v="4"/>
    <n v="0"/>
    <x v="5"/>
    <n v="0"/>
    <n v="4"/>
  </r>
  <r>
    <x v="134"/>
    <x v="134"/>
    <n v="69340"/>
    <s v="Production Technician II"/>
    <s v="MA"/>
    <n v="2021"/>
    <d v="1984-03-11T00:00:00"/>
    <x v="1"/>
    <s v="Single"/>
    <x v="0"/>
    <x v="134"/>
    <n v="27"/>
    <m/>
    <s v=""/>
    <s v="N/A-StillEmployed"/>
    <s v="Active"/>
    <x v="0"/>
    <x v="3"/>
    <x v="0"/>
    <s v="Fully Meets"/>
    <n v="3"/>
    <n v="5"/>
    <n v="0"/>
    <x v="48"/>
    <n v="0"/>
    <n v="4"/>
  </r>
  <r>
    <x v="135"/>
    <x v="135"/>
    <n v="64995"/>
    <s v="Production Technician II"/>
    <s v="MA"/>
    <n v="2351"/>
    <d v="1992-05-07T00:00:00"/>
    <x v="1"/>
    <s v="Separated"/>
    <x v="0"/>
    <x v="135"/>
    <n v="19"/>
    <m/>
    <s v=""/>
    <s v="N/A-StillEmployed"/>
    <s v="Active"/>
    <x v="0"/>
    <x v="4"/>
    <x v="1"/>
    <s v="Fully Meets"/>
    <n v="4.5"/>
    <n v="3"/>
    <n v="0"/>
    <x v="12"/>
    <n v="0"/>
    <n v="6"/>
  </r>
  <r>
    <x v="136"/>
    <x v="136"/>
    <n v="68182"/>
    <s v="Production Technician II"/>
    <s v="MA"/>
    <n v="1742"/>
    <d v="1976-09-22T00:00:00"/>
    <x v="1"/>
    <s v="Divorced"/>
    <x v="0"/>
    <x v="136"/>
    <n v="35"/>
    <d v="2013-04-01T00:00:00"/>
    <n v="1"/>
    <s v="unhappy"/>
    <s v="Voluntarily Terminated"/>
    <x v="0"/>
    <x v="5"/>
    <x v="2"/>
    <s v="Fully Meets"/>
    <n v="3.72"/>
    <n v="3"/>
    <n v="0"/>
    <x v="69"/>
    <n v="0"/>
    <n v="18"/>
  </r>
  <r>
    <x v="137"/>
    <x v="137"/>
    <n v="83082"/>
    <s v="Production Manager"/>
    <s v="MA"/>
    <n v="2128"/>
    <d v="1976-11-15T00:00:00"/>
    <x v="0"/>
    <s v="Married"/>
    <x v="3"/>
    <x v="137"/>
    <n v="35"/>
    <d v="2012-09-24T00:00:00"/>
    <n v="0"/>
    <s v="unhappy"/>
    <s v="Voluntarily Terminated"/>
    <x v="0"/>
    <x v="13"/>
    <x v="1"/>
    <s v="Needs Improvement"/>
    <n v="2.34"/>
    <n v="2"/>
    <n v="0"/>
    <x v="76"/>
    <n v="3"/>
    <n v="4"/>
  </r>
  <r>
    <x v="138"/>
    <x v="138"/>
    <n v="51908"/>
    <s v="Production Technician I"/>
    <s v="MA"/>
    <n v="1775"/>
    <d v="1991-01-28T00:00:00"/>
    <x v="1"/>
    <s v="Single"/>
    <x v="0"/>
    <x v="138"/>
    <n v="20"/>
    <m/>
    <s v=""/>
    <s v="N/A-StillEmployed"/>
    <s v="Active"/>
    <x v="0"/>
    <x v="8"/>
    <x v="1"/>
    <s v="Fully Meets"/>
    <n v="3.99"/>
    <n v="3"/>
    <n v="0"/>
    <x v="15"/>
    <n v="0"/>
    <n v="14"/>
  </r>
  <r>
    <x v="139"/>
    <x v="139"/>
    <n v="61242"/>
    <s v="Production Technician I"/>
    <s v="MA"/>
    <n v="2081"/>
    <d v="1972-09-11T00:00:00"/>
    <x v="1"/>
    <s v="Single"/>
    <x v="1"/>
    <x v="139"/>
    <n v="39"/>
    <m/>
    <s v=""/>
    <s v="N/A-StillEmployed"/>
    <s v="Active"/>
    <x v="0"/>
    <x v="10"/>
    <x v="0"/>
    <s v="Fully Meets"/>
    <n v="4.0999999999999996"/>
    <n v="3"/>
    <n v="0"/>
    <x v="0"/>
    <n v="0"/>
    <n v="7"/>
  </r>
  <r>
    <x v="140"/>
    <x v="140"/>
    <n v="45069"/>
    <s v="Production Technician I"/>
    <s v="MA"/>
    <n v="1778"/>
    <d v="1966-03-22T00:00:00"/>
    <x v="1"/>
    <s v="Divorced"/>
    <x v="0"/>
    <x v="140"/>
    <n v="45"/>
    <m/>
    <s v=""/>
    <s v="N/A-StillEmployed"/>
    <s v="Active"/>
    <x v="0"/>
    <x v="2"/>
    <x v="3"/>
    <s v="Fully Meets"/>
    <n v="4.3"/>
    <n v="5"/>
    <n v="0"/>
    <x v="29"/>
    <n v="0"/>
    <n v="7"/>
  </r>
  <r>
    <x v="141"/>
    <x v="141"/>
    <n v="60724"/>
    <s v="Production Technician II"/>
    <s v="MA"/>
    <n v="1821"/>
    <d v="1986-11-06T00:00:00"/>
    <x v="1"/>
    <s v="Divorced"/>
    <x v="4"/>
    <x v="141"/>
    <n v="25"/>
    <m/>
    <s v=""/>
    <s v="N/A-StillEmployed"/>
    <s v="Active"/>
    <x v="0"/>
    <x v="7"/>
    <x v="0"/>
    <s v="Exceeds"/>
    <n v="4.5999999999999996"/>
    <n v="4"/>
    <n v="0"/>
    <x v="7"/>
    <n v="0"/>
    <n v="11"/>
  </r>
  <r>
    <x v="142"/>
    <x v="142"/>
    <n v="60436"/>
    <s v="Production Technician I"/>
    <s v="MA"/>
    <n v="2109"/>
    <d v="1964-04-13T00:00:00"/>
    <x v="1"/>
    <s v="Separated"/>
    <x v="0"/>
    <x v="142"/>
    <n v="47"/>
    <m/>
    <s v=""/>
    <s v="N/A-StillEmployed"/>
    <s v="Active"/>
    <x v="0"/>
    <x v="11"/>
    <x v="0"/>
    <s v="Fully Meets"/>
    <n v="5"/>
    <n v="5"/>
    <n v="0"/>
    <x v="26"/>
    <n v="0"/>
    <n v="9"/>
  </r>
  <r>
    <x v="143"/>
    <x v="143"/>
    <n v="46837"/>
    <s v="Production Technician I"/>
    <s v="MA"/>
    <n v="2445"/>
    <d v="1959-08-19T00:00:00"/>
    <x v="0"/>
    <s v="Married"/>
    <x v="0"/>
    <x v="143"/>
    <n v="52"/>
    <d v="2018-04-29T00:00:00"/>
    <n v="6"/>
    <s v="more money"/>
    <s v="Voluntarily Terminated"/>
    <x v="0"/>
    <x v="0"/>
    <x v="6"/>
    <s v="Exceeds"/>
    <n v="4.7"/>
    <n v="4"/>
    <n v="0"/>
    <x v="77"/>
    <n v="0"/>
    <n v="9"/>
  </r>
  <r>
    <x v="144"/>
    <x v="144"/>
    <n v="105700"/>
    <s v="Database Administrator"/>
    <s v="MA"/>
    <n v="2301"/>
    <d v="1986-11-07T00:00:00"/>
    <x v="1"/>
    <s v="Married"/>
    <x v="3"/>
    <x v="144"/>
    <n v="25"/>
    <m/>
    <s v=""/>
    <s v="N/A-StillEmployed"/>
    <s v="Active"/>
    <x v="1"/>
    <x v="1"/>
    <x v="1"/>
    <s v="Fully Meets"/>
    <n v="3.75"/>
    <n v="3"/>
    <n v="5"/>
    <x v="72"/>
    <n v="0"/>
    <n v="2"/>
  </r>
  <r>
    <x v="145"/>
    <x v="145"/>
    <n v="63322"/>
    <s v="Production Technician II"/>
    <s v="MA"/>
    <n v="2128"/>
    <d v="1969-09-08T00:00:00"/>
    <x v="1"/>
    <s v="Single"/>
    <x v="0"/>
    <x v="145"/>
    <n v="42"/>
    <m/>
    <s v=""/>
    <s v="N/A-StillEmployed"/>
    <s v="Active"/>
    <x v="0"/>
    <x v="8"/>
    <x v="0"/>
    <s v="Exceeds"/>
    <n v="4.3"/>
    <n v="3"/>
    <n v="0"/>
    <x v="17"/>
    <n v="0"/>
    <n v="1"/>
  </r>
  <r>
    <x v="146"/>
    <x v="146"/>
    <n v="61154"/>
    <s v="Production Technician I"/>
    <s v="MA"/>
    <n v="2446"/>
    <d v="1986-04-17T00:00:00"/>
    <x v="1"/>
    <s v="Married"/>
    <x v="1"/>
    <x v="146"/>
    <n v="25"/>
    <d v="2016-04-01T00:00:00"/>
    <n v="4"/>
    <s v="unhappy"/>
    <s v="Voluntarily Terminated"/>
    <x v="0"/>
    <x v="3"/>
    <x v="6"/>
    <s v="Fully Meets"/>
    <n v="4"/>
    <n v="4"/>
    <n v="0"/>
    <x v="78"/>
    <n v="0"/>
    <n v="4"/>
  </r>
  <r>
    <x v="147"/>
    <x v="147"/>
    <n v="68999"/>
    <s v="Sales Manager"/>
    <s v="PA"/>
    <n v="19444"/>
    <d v="1989-11-11T00:00:00"/>
    <x v="1"/>
    <s v="Single"/>
    <x v="0"/>
    <x v="147"/>
    <n v="22"/>
    <d v="2014-04-24T00:00:00"/>
    <n v="2"/>
    <s v="maternity leave - did not return"/>
    <s v="Voluntarily Terminated"/>
    <x v="4"/>
    <x v="18"/>
    <x v="2"/>
    <s v="Fully Meets"/>
    <n v="4.5"/>
    <n v="5"/>
    <n v="0"/>
    <x v="79"/>
    <n v="0"/>
    <n v="2"/>
  </r>
  <r>
    <x v="148"/>
    <x v="148"/>
    <n v="50482"/>
    <s v="Production Technician I"/>
    <s v="MA"/>
    <n v="1887"/>
    <d v="1976-01-19T00:00:00"/>
    <x v="0"/>
    <s v="Single"/>
    <x v="0"/>
    <x v="148"/>
    <n v="35"/>
    <m/>
    <s v=""/>
    <s v="N/A-StillEmployed"/>
    <s v="Active"/>
    <x v="0"/>
    <x v="0"/>
    <x v="1"/>
    <s v="Fully Meets"/>
    <n v="3.07"/>
    <n v="4"/>
    <n v="0"/>
    <x v="46"/>
    <n v="0"/>
    <n v="10"/>
  </r>
  <r>
    <x v="149"/>
    <x v="149"/>
    <n v="65310"/>
    <s v="Area Sales Manager"/>
    <s v="CO"/>
    <n v="80820"/>
    <d v="1979-11-27T00:00:00"/>
    <x v="0"/>
    <s v="Single"/>
    <x v="0"/>
    <x v="149"/>
    <n v="32"/>
    <m/>
    <s v=""/>
    <s v="N/A-StillEmployed"/>
    <s v="Active"/>
    <x v="4"/>
    <x v="16"/>
    <x v="1"/>
    <s v="Fully Meets"/>
    <n v="4.3"/>
    <n v="5"/>
    <n v="0"/>
    <x v="40"/>
    <n v="0"/>
    <n v="13"/>
  </r>
  <r>
    <x v="150"/>
    <x v="150"/>
    <n v="250000"/>
    <s v="President &amp; CEO"/>
    <s v="MA"/>
    <n v="1902"/>
    <d v="1954-09-21T00:00:00"/>
    <x v="1"/>
    <s v="Married"/>
    <x v="0"/>
    <x v="150"/>
    <n v="57"/>
    <m/>
    <s v=""/>
    <s v="N/A-StillEmployed"/>
    <s v="Active"/>
    <x v="5"/>
    <x v="20"/>
    <x v="1"/>
    <s v="Fully Meets"/>
    <n v="4.83"/>
    <n v="3"/>
    <n v="0"/>
    <x v="0"/>
    <n v="0"/>
    <n v="10"/>
  </r>
  <r>
    <x v="151"/>
    <x v="151"/>
    <n v="54005"/>
    <s v="Production Technician I"/>
    <s v="MA"/>
    <n v="2170"/>
    <d v="1973-12-08T00:00:00"/>
    <x v="1"/>
    <s v="Married"/>
    <x v="0"/>
    <x v="151"/>
    <n v="37"/>
    <d v="2015-06-04T00:00:00"/>
    <n v="3"/>
    <s v="more money"/>
    <s v="Voluntarily Terminated"/>
    <x v="0"/>
    <x v="4"/>
    <x v="2"/>
    <s v="Fully Meets"/>
    <n v="3.6"/>
    <n v="5"/>
    <n v="0"/>
    <x v="80"/>
    <n v="0"/>
    <n v="16"/>
  </r>
  <r>
    <x v="152"/>
    <x v="152"/>
    <n v="45433"/>
    <s v="Production Technician I"/>
    <s v="MA"/>
    <n v="2127"/>
    <d v="1970-10-08T00:00:00"/>
    <x v="1"/>
    <s v="Married"/>
    <x v="0"/>
    <x v="152"/>
    <n v="41"/>
    <d v="2014-01-09T00:00:00"/>
    <n v="2"/>
    <s v="more money"/>
    <s v="Voluntarily Terminated"/>
    <x v="0"/>
    <x v="5"/>
    <x v="2"/>
    <s v="Fully Meets"/>
    <n v="3.49"/>
    <n v="4"/>
    <n v="0"/>
    <x v="73"/>
    <n v="0"/>
    <n v="6"/>
  </r>
  <r>
    <x v="153"/>
    <x v="153"/>
    <n v="46654"/>
    <s v="Production Technician I"/>
    <s v="MA"/>
    <n v="1721"/>
    <d v="1977-11-10T00:00:00"/>
    <x v="0"/>
    <s v="Single"/>
    <x v="1"/>
    <x v="153"/>
    <n v="34"/>
    <m/>
    <s v=""/>
    <s v="N/A-StillEmployed"/>
    <s v="Active"/>
    <x v="0"/>
    <x v="7"/>
    <x v="0"/>
    <s v="Fully Meets"/>
    <n v="3.1"/>
    <n v="3"/>
    <n v="0"/>
    <x v="81"/>
    <n v="0"/>
    <n v="3"/>
  </r>
  <r>
    <x v="154"/>
    <x v="154"/>
    <n v="63973"/>
    <s v="Production Technician I"/>
    <s v="MA"/>
    <n v="1801"/>
    <d v="1980-02-02T00:00:00"/>
    <x v="0"/>
    <s v="Married"/>
    <x v="3"/>
    <x v="154"/>
    <n v="31"/>
    <m/>
    <s v=""/>
    <s v="N/A-StillEmployed"/>
    <s v="Active"/>
    <x v="0"/>
    <x v="8"/>
    <x v="1"/>
    <s v="Fully Meets"/>
    <n v="3.38"/>
    <n v="3"/>
    <n v="0"/>
    <x v="26"/>
    <n v="0"/>
    <n v="17"/>
  </r>
  <r>
    <x v="155"/>
    <x v="155"/>
    <n v="71339"/>
    <s v="Area Sales Manager"/>
    <s v="NY"/>
    <n v="10171"/>
    <d v="1969-02-24T00:00:00"/>
    <x v="0"/>
    <s v="Single"/>
    <x v="1"/>
    <x v="155"/>
    <n v="42"/>
    <m/>
    <s v=""/>
    <s v="N/A-StillEmployed"/>
    <s v="Active"/>
    <x v="4"/>
    <x v="14"/>
    <x v="4"/>
    <s v="Fully Meets"/>
    <n v="3.65"/>
    <n v="5"/>
    <n v="0"/>
    <x v="0"/>
    <n v="0"/>
    <n v="20"/>
  </r>
  <r>
    <x v="156"/>
    <x v="156"/>
    <n v="93206"/>
    <s v="Sr. Network Engineer"/>
    <s v="MA"/>
    <n v="2169"/>
    <d v="1986-04-23T00:00:00"/>
    <x v="0"/>
    <s v="Married"/>
    <x v="0"/>
    <x v="156"/>
    <n v="25"/>
    <m/>
    <s v=""/>
    <s v="N/A-StillEmployed"/>
    <s v="Active"/>
    <x v="1"/>
    <x v="9"/>
    <x v="3"/>
    <s v="Fully Meets"/>
    <n v="4.46"/>
    <n v="5"/>
    <n v="6"/>
    <x v="5"/>
    <n v="0"/>
    <n v="7"/>
  </r>
  <r>
    <x v="157"/>
    <x v="157"/>
    <n v="82758"/>
    <s v="Production Manager"/>
    <s v="MA"/>
    <n v="1890"/>
    <d v="1972-07-01T00:00:00"/>
    <x v="0"/>
    <s v="Married"/>
    <x v="0"/>
    <x v="157"/>
    <n v="39"/>
    <d v="2015-12-12T00:00:00"/>
    <n v="4"/>
    <s v="attendance"/>
    <s v="Terminated for Cause"/>
    <x v="0"/>
    <x v="13"/>
    <x v="3"/>
    <s v="Fully Meets"/>
    <n v="4.78"/>
    <n v="4"/>
    <n v="0"/>
    <x v="82"/>
    <n v="0"/>
    <n v="9"/>
  </r>
  <r>
    <x v="158"/>
    <x v="158"/>
    <n v="66074"/>
    <s v="Production Technician II"/>
    <s v="MA"/>
    <n v="2090"/>
    <d v="1979-07-25T00:00:00"/>
    <x v="1"/>
    <s v="Divorced"/>
    <x v="3"/>
    <x v="158"/>
    <n v="32"/>
    <d v="2014-03-31T00:00:00"/>
    <n v="2"/>
    <s v="Another position"/>
    <s v="Voluntarily Terminated"/>
    <x v="0"/>
    <x v="10"/>
    <x v="1"/>
    <s v="Fully Meets"/>
    <n v="4.5199999999999996"/>
    <n v="3"/>
    <n v="0"/>
    <x v="22"/>
    <n v="0"/>
    <n v="20"/>
  </r>
  <r>
    <x v="159"/>
    <x v="159"/>
    <n v="46120"/>
    <s v="Production Technician I"/>
    <s v="MA"/>
    <n v="2048"/>
    <d v="1986-12-09T00:00:00"/>
    <x v="0"/>
    <s v="Married"/>
    <x v="0"/>
    <x v="159"/>
    <n v="25"/>
    <m/>
    <s v=""/>
    <s v="N/A-StillEmployed"/>
    <s v="Active"/>
    <x v="0"/>
    <x v="10"/>
    <x v="0"/>
    <s v="Fully Meets"/>
    <n v="5"/>
    <n v="5"/>
    <n v="0"/>
    <x v="39"/>
    <n v="0"/>
    <n v="13"/>
  </r>
  <r>
    <x v="160"/>
    <x v="160"/>
    <n v="64520"/>
    <s v="Accountant I"/>
    <s v="MA"/>
    <n v="1460"/>
    <d v="1984-04-26T00:00:00"/>
    <x v="0"/>
    <s v="Divorced"/>
    <x v="1"/>
    <x v="160"/>
    <n v="27"/>
    <m/>
    <s v=""/>
    <s v="N/A-StillEmployed"/>
    <s v="Active"/>
    <x v="3"/>
    <x v="12"/>
    <x v="7"/>
    <s v="Fully Meets"/>
    <n v="5"/>
    <n v="4"/>
    <n v="4"/>
    <x v="0"/>
    <n v="0"/>
    <n v="3"/>
  </r>
  <r>
    <x v="161"/>
    <x v="161"/>
    <n v="61962"/>
    <s v="Production Technician II"/>
    <s v="MA"/>
    <n v="2126"/>
    <d v="1984-05-09T00:00:00"/>
    <x v="0"/>
    <s v="Married"/>
    <x v="0"/>
    <x v="161"/>
    <n v="27"/>
    <d v="2013-04-15T00:00:00"/>
    <n v="1"/>
    <s v="more money"/>
    <s v="Voluntarily Terminated"/>
    <x v="0"/>
    <x v="2"/>
    <x v="2"/>
    <s v="Fully Meets"/>
    <n v="4.9000000000000004"/>
    <n v="3"/>
    <n v="0"/>
    <x v="83"/>
    <n v="0"/>
    <n v="20"/>
  </r>
  <r>
    <x v="162"/>
    <x v="162"/>
    <n v="81584"/>
    <s v="Senior BI Developer"/>
    <s v="MA"/>
    <n v="1886"/>
    <d v="1987-06-14T00:00:00"/>
    <x v="1"/>
    <s v="Single"/>
    <x v="3"/>
    <x v="162"/>
    <n v="24"/>
    <m/>
    <s v=""/>
    <s v="N/A-StillEmployed"/>
    <s v="Active"/>
    <x v="1"/>
    <x v="19"/>
    <x v="1"/>
    <s v="Fully Meets"/>
    <n v="4.0999999999999996"/>
    <n v="5"/>
    <n v="7"/>
    <x v="70"/>
    <n v="0"/>
    <n v="2"/>
  </r>
  <r>
    <x v="163"/>
    <x v="163"/>
    <n v="63676"/>
    <s v="Production Technician I"/>
    <s v="MA"/>
    <n v="1810"/>
    <d v="1979-01-17T00:00:00"/>
    <x v="1"/>
    <s v="Single"/>
    <x v="3"/>
    <x v="163"/>
    <n v="32"/>
    <d v="2018-08-19T00:00:00"/>
    <n v="6"/>
    <s v="return to school"/>
    <s v="Voluntarily Terminated"/>
    <x v="0"/>
    <x v="2"/>
    <x v="6"/>
    <s v="Fully Meets"/>
    <n v="4.88"/>
    <n v="3"/>
    <n v="0"/>
    <x v="84"/>
    <n v="0"/>
    <n v="17"/>
  </r>
  <r>
    <x v="164"/>
    <x v="164"/>
    <n v="93046"/>
    <s v="Shared Services Manager"/>
    <s v="MA"/>
    <n v="1460"/>
    <d v="1984-06-10T00:00:00"/>
    <x v="0"/>
    <s v="Married"/>
    <x v="0"/>
    <x v="164"/>
    <n v="27"/>
    <m/>
    <s v=""/>
    <s v="N/A-StillEmployed"/>
    <s v="Active"/>
    <x v="3"/>
    <x v="13"/>
    <x v="6"/>
    <s v="Fully Meets"/>
    <n v="4.0999999999999996"/>
    <n v="4"/>
    <n v="0"/>
    <x v="41"/>
    <n v="0"/>
    <n v="20"/>
  </r>
  <r>
    <x v="165"/>
    <x v="165"/>
    <n v="64738"/>
    <s v="Production Technician I"/>
    <s v="MA"/>
    <n v="1776"/>
    <d v="1982-09-02T00:00:00"/>
    <x v="0"/>
    <s v="Married"/>
    <x v="3"/>
    <x v="165"/>
    <n v="29"/>
    <m/>
    <s v=""/>
    <s v="N/A-StillEmployed"/>
    <s v="Active"/>
    <x v="0"/>
    <x v="3"/>
    <x v="2"/>
    <s v="Fully Meets"/>
    <n v="4.0999999999999996"/>
    <n v="3"/>
    <n v="0"/>
    <x v="29"/>
    <n v="0"/>
    <n v="10"/>
  </r>
  <r>
    <x v="166"/>
    <x v="166"/>
    <n v="70468"/>
    <s v="Area Sales Manager"/>
    <s v="UT"/>
    <n v="84111"/>
    <d v="1988-12-27T00:00:00"/>
    <x v="0"/>
    <s v="Separated"/>
    <x v="1"/>
    <x v="166"/>
    <n v="22"/>
    <m/>
    <s v=""/>
    <s v="N/A-StillEmployed"/>
    <s v="Active"/>
    <x v="4"/>
    <x v="14"/>
    <x v="7"/>
    <s v="Fully Meets"/>
    <n v="4.53"/>
    <n v="3"/>
    <n v="0"/>
    <x v="47"/>
    <n v="0"/>
    <n v="16"/>
  </r>
  <r>
    <x v="167"/>
    <x v="167"/>
    <n v="77915"/>
    <s v="Production Manager"/>
    <s v="MA"/>
    <n v="2110"/>
    <d v="1981-10-26T00:00:00"/>
    <x v="1"/>
    <s v="Married"/>
    <x v="0"/>
    <x v="167"/>
    <n v="30"/>
    <m/>
    <s v=""/>
    <s v="N/A-StillEmployed"/>
    <s v="Active"/>
    <x v="0"/>
    <x v="13"/>
    <x v="7"/>
    <s v="Exceeds"/>
    <n v="4.0999999999999996"/>
    <n v="3"/>
    <n v="0"/>
    <x v="26"/>
    <n v="0"/>
    <n v="11"/>
  </r>
  <r>
    <x v="168"/>
    <x v="168"/>
    <n v="52624"/>
    <s v="Production Technician I"/>
    <s v="MA"/>
    <n v="1886"/>
    <d v="1981-03-26T00:00:00"/>
    <x v="1"/>
    <s v="Married"/>
    <x v="0"/>
    <x v="168"/>
    <n v="30"/>
    <d v="2018-09-26T00:00:00"/>
    <n v="6"/>
    <s v="unhappy"/>
    <s v="Voluntarily Terminated"/>
    <x v="0"/>
    <x v="0"/>
    <x v="1"/>
    <s v="Fully Meets"/>
    <n v="3.18"/>
    <n v="4"/>
    <n v="0"/>
    <x v="85"/>
    <n v="0"/>
    <n v="16"/>
  </r>
  <r>
    <x v="169"/>
    <x v="169"/>
    <n v="63450"/>
    <s v="Production Technician II"/>
    <s v="MA"/>
    <n v="1770"/>
    <d v="1979-03-19T00:00:00"/>
    <x v="0"/>
    <s v="Married"/>
    <x v="0"/>
    <x v="169"/>
    <n v="32"/>
    <m/>
    <s v=""/>
    <s v="N/A-StillEmployed"/>
    <s v="Active"/>
    <x v="0"/>
    <x v="11"/>
    <x v="0"/>
    <s v="Fully Meets"/>
    <n v="4"/>
    <n v="3"/>
    <n v="0"/>
    <x v="9"/>
    <n v="0"/>
    <n v="7"/>
  </r>
  <r>
    <x v="170"/>
    <x v="170"/>
    <n v="51777"/>
    <s v="IT Support"/>
    <s v="CT"/>
    <n v="6070"/>
    <d v="1988-10-05T00:00:00"/>
    <x v="1"/>
    <s v="Single"/>
    <x v="1"/>
    <x v="170"/>
    <n v="23"/>
    <m/>
    <s v=""/>
    <s v="N/A-StillEmployed"/>
    <s v="Active"/>
    <x v="1"/>
    <x v="17"/>
    <x v="4"/>
    <s v="Exceeds"/>
    <n v="4.6399999999999997"/>
    <n v="4"/>
    <n v="5"/>
    <x v="8"/>
    <n v="0"/>
    <n v="14"/>
  </r>
  <r>
    <x v="171"/>
    <x v="171"/>
    <n v="67237"/>
    <s v="Production Technician II"/>
    <s v="MA"/>
    <n v="2122"/>
    <d v="1976-12-26T00:00:00"/>
    <x v="1"/>
    <s v="Widowed"/>
    <x v="0"/>
    <x v="171"/>
    <n v="34"/>
    <d v="2016-09-15T00:00:00"/>
    <n v="4"/>
    <s v="more money"/>
    <s v="Voluntarily Terminated"/>
    <x v="0"/>
    <x v="0"/>
    <x v="0"/>
    <s v="Fully Meets"/>
    <n v="4.6500000000000004"/>
    <n v="4"/>
    <n v="0"/>
    <x v="86"/>
    <n v="0"/>
    <n v="15"/>
  </r>
  <r>
    <x v="172"/>
    <x v="172"/>
    <n v="73330"/>
    <s v="Production Technician II"/>
    <s v="MA"/>
    <n v="2324"/>
    <d v="1982-03-28T00:00:00"/>
    <x v="1"/>
    <s v="Single"/>
    <x v="1"/>
    <x v="172"/>
    <n v="29"/>
    <m/>
    <s v=""/>
    <s v="N/A-StillEmployed"/>
    <s v="Active"/>
    <x v="0"/>
    <x v="3"/>
    <x v="1"/>
    <s v="Exceeds"/>
    <n v="4.2"/>
    <n v="4"/>
    <n v="0"/>
    <x v="31"/>
    <n v="0"/>
    <n v="19"/>
  </r>
  <r>
    <x v="173"/>
    <x v="173"/>
    <n v="52057"/>
    <s v="Production Technician I"/>
    <s v="MA"/>
    <n v="2122"/>
    <d v="1975-10-22T00:00:00"/>
    <x v="1"/>
    <s v="Married"/>
    <x v="1"/>
    <x v="173"/>
    <n v="36"/>
    <m/>
    <s v=""/>
    <s v="N/A-StillEmployed"/>
    <s v="Active"/>
    <x v="0"/>
    <x v="3"/>
    <x v="7"/>
    <s v="Fully Meets"/>
    <n v="5"/>
    <n v="3"/>
    <n v="0"/>
    <x v="46"/>
    <n v="0"/>
    <n v="6"/>
  </r>
  <r>
    <x v="174"/>
    <x v="174"/>
    <n v="47434"/>
    <s v="Production Technician I"/>
    <s v="MA"/>
    <n v="1844"/>
    <d v="1973-02-14T00:00:00"/>
    <x v="1"/>
    <s v="Single"/>
    <x v="1"/>
    <x v="174"/>
    <n v="38"/>
    <d v="2015-11-14T00:00:00"/>
    <n v="3"/>
    <s v="Another position"/>
    <s v="Voluntarily Terminated"/>
    <x v="0"/>
    <x v="4"/>
    <x v="4"/>
    <s v="Exceeds"/>
    <n v="5"/>
    <n v="4"/>
    <n v="0"/>
    <x v="87"/>
    <n v="0"/>
    <n v="17"/>
  </r>
  <r>
    <x v="175"/>
    <x v="175"/>
    <n v="52788"/>
    <s v="Production Technician I"/>
    <s v="MA"/>
    <n v="1938"/>
    <d v="1972-11-09T00:00:00"/>
    <x v="0"/>
    <s v="Widowed"/>
    <x v="0"/>
    <x v="175"/>
    <n v="39"/>
    <d v="2017-09-26T00:00:00"/>
    <n v="5"/>
    <s v="hours"/>
    <s v="Voluntarily Terminated"/>
    <x v="0"/>
    <x v="5"/>
    <x v="1"/>
    <s v="Fully Meets"/>
    <n v="3.08"/>
    <n v="4"/>
    <n v="0"/>
    <x v="88"/>
    <n v="0"/>
    <n v="18"/>
  </r>
  <r>
    <x v="176"/>
    <x v="176"/>
    <n v="45395"/>
    <s v="Production Technician I"/>
    <s v="MA"/>
    <n v="2189"/>
    <d v="1986-07-07T00:00:00"/>
    <x v="1"/>
    <s v="Single"/>
    <x v="0"/>
    <x v="176"/>
    <n v="25"/>
    <m/>
    <s v=""/>
    <s v="N/A-StillEmployed"/>
    <s v="Active"/>
    <x v="0"/>
    <x v="7"/>
    <x v="0"/>
    <s v="Fully Meets"/>
    <n v="4.5999999999999996"/>
    <n v="4"/>
    <n v="0"/>
    <x v="60"/>
    <n v="0"/>
    <n v="14"/>
  </r>
  <r>
    <x v="177"/>
    <x v="177"/>
    <n v="62385"/>
    <s v="Production Technician II"/>
    <s v="MA"/>
    <n v="2324"/>
    <d v="1976-08-25T00:00:00"/>
    <x v="1"/>
    <s v="Married"/>
    <x v="0"/>
    <x v="177"/>
    <n v="35"/>
    <m/>
    <s v=""/>
    <s v="N/A-StillEmployed"/>
    <s v="Active"/>
    <x v="0"/>
    <x v="4"/>
    <x v="0"/>
    <s v="Fully Meets"/>
    <n v="5"/>
    <n v="3"/>
    <n v="0"/>
    <x v="26"/>
    <n v="0"/>
    <n v="4"/>
  </r>
  <r>
    <x v="178"/>
    <x v="178"/>
    <n v="68407"/>
    <s v="Production Technician II"/>
    <s v="MA"/>
    <n v="2176"/>
    <d v="1986-12-10T00:00:00"/>
    <x v="1"/>
    <s v="Married"/>
    <x v="2"/>
    <x v="178"/>
    <n v="25"/>
    <d v="2012-08-19T00:00:00"/>
    <n v="0"/>
    <s v="Another position"/>
    <s v="Voluntarily Terminated"/>
    <x v="0"/>
    <x v="5"/>
    <x v="0"/>
    <s v="Fully Meets"/>
    <n v="5"/>
    <n v="4"/>
    <n v="0"/>
    <x v="89"/>
    <n v="0"/>
    <n v="16"/>
  </r>
  <r>
    <x v="179"/>
    <x v="179"/>
    <n v="61349"/>
    <s v="Production Technician I"/>
    <s v="MA"/>
    <n v="2451"/>
    <d v="1974-11-07T00:00:00"/>
    <x v="1"/>
    <s v="Married"/>
    <x v="0"/>
    <x v="179"/>
    <n v="37"/>
    <m/>
    <s v=""/>
    <s v="N/A-StillEmployed"/>
    <s v="Active"/>
    <x v="0"/>
    <x v="8"/>
    <x v="0"/>
    <s v="Fully Meets"/>
    <n v="4.0999999999999996"/>
    <n v="3"/>
    <n v="0"/>
    <x v="40"/>
    <n v="0"/>
    <n v="11"/>
  </r>
  <r>
    <x v="180"/>
    <x v="180"/>
    <n v="105688"/>
    <s v="Software Engineer"/>
    <s v="MA"/>
    <n v="2135"/>
    <d v="1987-11-07T00:00:00"/>
    <x v="1"/>
    <s v="Single"/>
    <x v="3"/>
    <x v="180"/>
    <n v="24"/>
    <m/>
    <s v=""/>
    <s v="N/A-StillEmployed"/>
    <s v="Active"/>
    <x v="2"/>
    <x v="6"/>
    <x v="2"/>
    <s v="Fully Meets"/>
    <n v="4.5"/>
    <n v="5"/>
    <n v="4"/>
    <x v="15"/>
    <n v="0"/>
    <n v="14"/>
  </r>
  <r>
    <x v="181"/>
    <x v="181"/>
    <n v="54132"/>
    <s v="Production Technician I"/>
    <s v="MA"/>
    <n v="2330"/>
    <d v="1977-11-22T00:00:00"/>
    <x v="1"/>
    <s v="Married"/>
    <x v="0"/>
    <x v="181"/>
    <n v="34"/>
    <m/>
    <s v=""/>
    <s v="N/A-StillEmployed"/>
    <s v="Active"/>
    <x v="0"/>
    <x v="10"/>
    <x v="1"/>
    <s v="Fully Meets"/>
    <n v="5"/>
    <n v="4"/>
    <n v="0"/>
    <x v="18"/>
    <n v="0"/>
    <n v="8"/>
  </r>
  <r>
    <x v="182"/>
    <x v="182"/>
    <n v="55315"/>
    <s v="Production Technician II"/>
    <s v="MA"/>
    <n v="2149"/>
    <d v="1987-05-21T00:00:00"/>
    <x v="1"/>
    <s v="Single"/>
    <x v="1"/>
    <x v="182"/>
    <n v="24"/>
    <m/>
    <s v=""/>
    <s v="N/A-StillEmployed"/>
    <s v="Active"/>
    <x v="0"/>
    <x v="7"/>
    <x v="0"/>
    <s v="Fully Meets"/>
    <n v="5"/>
    <n v="5"/>
    <n v="0"/>
    <x v="65"/>
    <n v="0"/>
    <n v="16"/>
  </r>
  <r>
    <x v="183"/>
    <x v="183"/>
    <n v="62810"/>
    <s v="Production Technician I"/>
    <s v="MA"/>
    <n v="2184"/>
    <d v="1987-01-07T00:00:00"/>
    <x v="1"/>
    <s v="Married"/>
    <x v="1"/>
    <x v="183"/>
    <n v="24"/>
    <m/>
    <s v=""/>
    <s v="N/A-StillEmployed"/>
    <s v="Active"/>
    <x v="0"/>
    <x v="2"/>
    <x v="6"/>
    <s v="Fully Meets"/>
    <n v="3.93"/>
    <n v="3"/>
    <n v="0"/>
    <x v="30"/>
    <n v="0"/>
    <n v="20"/>
  </r>
  <r>
    <x v="184"/>
    <x v="184"/>
    <n v="63291"/>
    <s v="Area Sales Manager"/>
    <s v="TX"/>
    <n v="78789"/>
    <d v="1984-07-01T00:00:00"/>
    <x v="0"/>
    <s v="Married"/>
    <x v="2"/>
    <x v="184"/>
    <n v="27"/>
    <m/>
    <s v=""/>
    <s v="N/A-StillEmployed"/>
    <s v="Active"/>
    <x v="4"/>
    <x v="16"/>
    <x v="7"/>
    <s v="Fully Meets"/>
    <n v="3.4"/>
    <n v="4"/>
    <n v="0"/>
    <x v="47"/>
    <n v="0"/>
    <n v="7"/>
  </r>
  <r>
    <x v="185"/>
    <x v="185"/>
    <n v="62659"/>
    <s v="Production Technician I"/>
    <s v="MA"/>
    <n v="1760"/>
    <d v="1968-05-30T00:00:00"/>
    <x v="1"/>
    <s v="Single"/>
    <x v="1"/>
    <x v="185"/>
    <n v="43"/>
    <d v="2016-11-11T00:00:00"/>
    <n v="4"/>
    <s v="Another position"/>
    <s v="Voluntarily Terminated"/>
    <x v="0"/>
    <x v="11"/>
    <x v="4"/>
    <s v="Fully Meets"/>
    <n v="4.18"/>
    <n v="4"/>
    <n v="0"/>
    <x v="90"/>
    <n v="0"/>
    <n v="17"/>
  </r>
  <r>
    <x v="186"/>
    <x v="186"/>
    <n v="55688"/>
    <s v="Production Technician I"/>
    <s v="MA"/>
    <n v="2346"/>
    <d v="1976-09-22T00:00:00"/>
    <x v="1"/>
    <s v="Single"/>
    <x v="0"/>
    <x v="186"/>
    <n v="35"/>
    <m/>
    <s v=""/>
    <s v="N/A-StillEmployed"/>
    <s v="Active"/>
    <x v="0"/>
    <x v="0"/>
    <x v="6"/>
    <s v="Fully Meets"/>
    <n v="5"/>
    <n v="4"/>
    <n v="0"/>
    <x v="26"/>
    <n v="0"/>
    <n v="10"/>
  </r>
  <r>
    <x v="187"/>
    <x v="187"/>
    <n v="83667"/>
    <s v="Production Manager"/>
    <s v="MA"/>
    <n v="2045"/>
    <d v="1981-08-10T00:00:00"/>
    <x v="0"/>
    <s v="Single"/>
    <x v="5"/>
    <x v="187"/>
    <n v="30"/>
    <m/>
    <s v=""/>
    <s v="N/A-StillEmployed"/>
    <s v="Active"/>
    <x v="0"/>
    <x v="13"/>
    <x v="1"/>
    <s v="Fully Meets"/>
    <n v="4.37"/>
    <n v="3"/>
    <n v="0"/>
    <x v="15"/>
    <n v="0"/>
    <n v="2"/>
  </r>
  <r>
    <x v="188"/>
    <x v="188"/>
    <n v="55800"/>
    <s v="Production Technician II"/>
    <s v="MA"/>
    <n v="2472"/>
    <d v="1985-06-29T00:00:00"/>
    <x v="0"/>
    <s v="Single"/>
    <x v="0"/>
    <x v="188"/>
    <n v="26"/>
    <d v="2014-09-04T00:00:00"/>
    <n v="2"/>
    <s v="unhappy"/>
    <s v="Voluntarily Terminated"/>
    <x v="0"/>
    <x v="8"/>
    <x v="0"/>
    <s v="PIP"/>
    <n v="3"/>
    <n v="2"/>
    <n v="0"/>
    <x v="91"/>
    <n v="6"/>
    <n v="6"/>
  </r>
  <r>
    <x v="189"/>
    <x v="189"/>
    <n v="58207"/>
    <s v="Production Technician II"/>
    <s v="MA"/>
    <n v="1450"/>
    <d v="1992-08-17T00:00:00"/>
    <x v="0"/>
    <s v="Married"/>
    <x v="0"/>
    <x v="189"/>
    <n v="19"/>
    <m/>
    <s v=""/>
    <s v="N/A-StillEmployed"/>
    <s v="Active"/>
    <x v="0"/>
    <x v="10"/>
    <x v="0"/>
    <s v="Fully Meets"/>
    <n v="3.7"/>
    <n v="3"/>
    <n v="0"/>
    <x v="70"/>
    <n v="0"/>
    <n v="14"/>
  </r>
  <r>
    <x v="190"/>
    <x v="190"/>
    <n v="157000"/>
    <s v="IT Manager - Infra"/>
    <s v="MA"/>
    <n v="2134"/>
    <d v="1986-10-05T00:00:00"/>
    <x v="0"/>
    <s v="Married"/>
    <x v="1"/>
    <x v="190"/>
    <n v="25"/>
    <m/>
    <s v=""/>
    <s v="N/A-StillEmployed"/>
    <s v="Active"/>
    <x v="1"/>
    <x v="15"/>
    <x v="4"/>
    <s v="Needs Improvement"/>
    <n v="2.39"/>
    <n v="3"/>
    <n v="6"/>
    <x v="29"/>
    <n v="4"/>
    <n v="13"/>
  </r>
  <r>
    <x v="191"/>
    <x v="191"/>
    <n v="72460"/>
    <s v="Production Technician II"/>
    <s v="MA"/>
    <n v="2126"/>
    <d v="1970-04-24T00:00:00"/>
    <x v="1"/>
    <s v="Single"/>
    <x v="1"/>
    <x v="191"/>
    <n v="41"/>
    <m/>
    <s v=""/>
    <s v="N/A-StillEmployed"/>
    <s v="Active"/>
    <x v="0"/>
    <x v="2"/>
    <x v="1"/>
    <s v="Exceeds"/>
    <n v="4.7"/>
    <n v="3"/>
    <n v="0"/>
    <x v="15"/>
    <n v="0"/>
    <n v="1"/>
  </r>
  <r>
    <x v="192"/>
    <x v="192"/>
    <n v="72106"/>
    <s v="Production Technician II"/>
    <s v="MA"/>
    <n v="2127"/>
    <d v="1976-12-03T00:00:00"/>
    <x v="0"/>
    <s v="Single"/>
    <x v="1"/>
    <x v="192"/>
    <n v="35"/>
    <m/>
    <s v=""/>
    <s v="N/A-StillEmployed"/>
    <s v="Active"/>
    <x v="0"/>
    <x v="11"/>
    <x v="4"/>
    <s v="Fully Meets"/>
    <n v="4.0999999999999996"/>
    <n v="4"/>
    <n v="0"/>
    <x v="43"/>
    <n v="0"/>
    <n v="12"/>
  </r>
  <r>
    <x v="193"/>
    <x v="193"/>
    <n v="52599"/>
    <s v="Network Engineer"/>
    <s v="MA"/>
    <n v="2048"/>
    <d v="1979-04-04T00:00:00"/>
    <x v="1"/>
    <s v="Married"/>
    <x v="0"/>
    <x v="193"/>
    <n v="32"/>
    <m/>
    <s v=""/>
    <s v="N/A-StillEmployed"/>
    <s v="Active"/>
    <x v="1"/>
    <x v="9"/>
    <x v="6"/>
    <s v="Fully Meets"/>
    <n v="3.81"/>
    <n v="3"/>
    <n v="6"/>
    <x v="72"/>
    <n v="0"/>
    <n v="6"/>
  </r>
  <r>
    <x v="194"/>
    <x v="194"/>
    <n v="63430"/>
    <s v="Production Technician I"/>
    <s v="MA"/>
    <n v="2453"/>
    <d v="1984-07-07T00:00:00"/>
    <x v="1"/>
    <s v="Divorced"/>
    <x v="0"/>
    <x v="194"/>
    <n v="27"/>
    <m/>
    <s v=""/>
    <s v="N/A-StillEmployed"/>
    <s v="Active"/>
    <x v="0"/>
    <x v="3"/>
    <x v="0"/>
    <s v="Fully Meets"/>
    <n v="4.4000000000000004"/>
    <n v="4"/>
    <n v="0"/>
    <x v="0"/>
    <n v="0"/>
    <n v="18"/>
  </r>
  <r>
    <x v="195"/>
    <x v="195"/>
    <n v="74417"/>
    <s v="Production Technician II"/>
    <s v="MA"/>
    <n v="1460"/>
    <d v="1974-12-01T00:00:00"/>
    <x v="0"/>
    <s v="Separated"/>
    <x v="1"/>
    <x v="195"/>
    <n v="37"/>
    <m/>
    <s v=""/>
    <s v="N/A-StillEmployed"/>
    <s v="Active"/>
    <x v="0"/>
    <x v="0"/>
    <x v="0"/>
    <s v="Fully Meets"/>
    <n v="4.29"/>
    <n v="5"/>
    <n v="0"/>
    <x v="41"/>
    <n v="0"/>
    <n v="11"/>
  </r>
  <r>
    <x v="196"/>
    <x v="196"/>
    <n v="57575"/>
    <s v="Production Technician I"/>
    <s v="MA"/>
    <n v="1550"/>
    <d v="1980-04-18T00:00:00"/>
    <x v="0"/>
    <s v="Single"/>
    <x v="3"/>
    <x v="196"/>
    <n v="31"/>
    <m/>
    <s v=""/>
    <s v="N/A-StillEmployed"/>
    <s v="Active"/>
    <x v="0"/>
    <x v="2"/>
    <x v="0"/>
    <s v="Fully Meets"/>
    <n v="4.0999999999999996"/>
    <n v="4"/>
    <n v="0"/>
    <x v="40"/>
    <n v="0"/>
    <n v="13"/>
  </r>
  <r>
    <x v="197"/>
    <x v="197"/>
    <n v="87921"/>
    <s v="Senior BI Developer"/>
    <s v="MA"/>
    <n v="2056"/>
    <d v="1970-04-25T00:00:00"/>
    <x v="0"/>
    <s v="Single"/>
    <x v="3"/>
    <x v="197"/>
    <n v="41"/>
    <m/>
    <s v=""/>
    <s v="N/A-StillEmployed"/>
    <s v="Active"/>
    <x v="1"/>
    <x v="19"/>
    <x v="1"/>
    <s v="Fully Meets"/>
    <n v="5"/>
    <n v="3"/>
    <n v="6"/>
    <x v="7"/>
    <n v="0"/>
    <n v="17"/>
  </r>
  <r>
    <x v="198"/>
    <x v="198"/>
    <n v="50470"/>
    <s v="Production Technician I"/>
    <s v="MA"/>
    <n v="2110"/>
    <d v="1989-05-02T00:00:00"/>
    <x v="0"/>
    <s v="Single"/>
    <x v="1"/>
    <x v="198"/>
    <n v="22"/>
    <d v="2014-04-04T00:00:00"/>
    <n v="2"/>
    <s v="return to school"/>
    <s v="Voluntarily Terminated"/>
    <x v="0"/>
    <x v="4"/>
    <x v="4"/>
    <s v="Fully Meets"/>
    <n v="4.3"/>
    <n v="3"/>
    <n v="0"/>
    <x v="92"/>
    <n v="0"/>
    <n v="19"/>
  </r>
  <r>
    <x v="199"/>
    <x v="199"/>
    <n v="46664"/>
    <s v="Production Technician I"/>
    <s v="MA"/>
    <n v="2421"/>
    <d v="1983-03-28T00:00:00"/>
    <x v="0"/>
    <s v="Married"/>
    <x v="0"/>
    <x v="199"/>
    <n v="28"/>
    <d v="2016-05-25T00:00:00"/>
    <n v="4"/>
    <s v="more money"/>
    <s v="Voluntarily Terminated"/>
    <x v="0"/>
    <x v="5"/>
    <x v="3"/>
    <s v="Fully Meets"/>
    <n v="3.18"/>
    <n v="3"/>
    <n v="0"/>
    <x v="93"/>
    <n v="0"/>
    <n v="10"/>
  </r>
  <r>
    <x v="200"/>
    <x v="200"/>
    <n v="48495"/>
    <s v="Production Technician I"/>
    <s v="MA"/>
    <n v="2136"/>
    <d v="1977-04-08T00:00:00"/>
    <x v="0"/>
    <s v="Married"/>
    <x v="0"/>
    <x v="200"/>
    <n v="34"/>
    <m/>
    <s v=""/>
    <s v="N/A-StillEmployed"/>
    <s v="Active"/>
    <x v="0"/>
    <x v="7"/>
    <x v="0"/>
    <s v="Fully Meets"/>
    <n v="5"/>
    <n v="5"/>
    <n v="0"/>
    <x v="9"/>
    <n v="0"/>
    <n v="11"/>
  </r>
  <r>
    <x v="201"/>
    <x v="201"/>
    <n v="52984"/>
    <s v="Production Technician I"/>
    <s v="MA"/>
    <n v="1810"/>
    <d v="1967-06-03T00:00:00"/>
    <x v="1"/>
    <s v="Separated"/>
    <x v="1"/>
    <x v="201"/>
    <n v="44"/>
    <m/>
    <s v=""/>
    <s v="N/A-StillEmployed"/>
    <s v="Active"/>
    <x v="0"/>
    <x v="8"/>
    <x v="4"/>
    <s v="Exceeds"/>
    <n v="4"/>
    <n v="3"/>
    <n v="0"/>
    <x v="52"/>
    <n v="0"/>
    <n v="12"/>
  </r>
  <r>
    <x v="202"/>
    <x v="202"/>
    <n v="63695"/>
    <s v="Area Sales Manager"/>
    <s v="GA"/>
    <n v="30428"/>
    <d v="1989-03-31T00:00:00"/>
    <x v="1"/>
    <s v="Single"/>
    <x v="2"/>
    <x v="202"/>
    <n v="22"/>
    <m/>
    <s v=""/>
    <s v="N/A-StillEmployed"/>
    <s v="Active"/>
    <x v="4"/>
    <x v="16"/>
    <x v="1"/>
    <s v="Fully Meets"/>
    <n v="5"/>
    <n v="5"/>
    <n v="0"/>
    <x v="8"/>
    <n v="0"/>
    <n v="2"/>
  </r>
  <r>
    <x v="203"/>
    <x v="203"/>
    <n v="62061"/>
    <s v="Production Technician I"/>
    <s v="MA"/>
    <n v="2132"/>
    <d v="1984-07-07T00:00:00"/>
    <x v="1"/>
    <s v="Single"/>
    <x v="0"/>
    <x v="203"/>
    <n v="27"/>
    <m/>
    <s v=""/>
    <s v="N/A-StillEmployed"/>
    <s v="Active"/>
    <x v="0"/>
    <x v="10"/>
    <x v="0"/>
    <s v="Fully Meets"/>
    <n v="3.6"/>
    <n v="5"/>
    <n v="0"/>
    <x v="6"/>
    <n v="0"/>
    <n v="4"/>
  </r>
  <r>
    <x v="204"/>
    <x v="204"/>
    <n v="66738"/>
    <s v="Production Technician II"/>
    <s v="MA"/>
    <n v="1040"/>
    <d v="1985-11-23T00:00:00"/>
    <x v="1"/>
    <s v="Single"/>
    <x v="0"/>
    <x v="204"/>
    <n v="26"/>
    <m/>
    <s v=""/>
    <s v="N/A-StillEmployed"/>
    <s v="Active"/>
    <x v="0"/>
    <x v="3"/>
    <x v="1"/>
    <s v="Fully Meets"/>
    <n v="4.53"/>
    <n v="5"/>
    <n v="0"/>
    <x v="61"/>
    <n v="0"/>
    <n v="5"/>
  </r>
  <r>
    <x v="205"/>
    <x v="205"/>
    <n v="52674"/>
    <s v="Production Technician I"/>
    <s v="MA"/>
    <n v="2152"/>
    <d v="1980-09-30T00:00:00"/>
    <x v="1"/>
    <s v="Single"/>
    <x v="2"/>
    <x v="205"/>
    <n v="31"/>
    <d v="2018-05-01T00:00:00"/>
    <n v="6"/>
    <s v="performance"/>
    <s v="Terminated for Cause"/>
    <x v="0"/>
    <x v="2"/>
    <x v="0"/>
    <s v="PIP"/>
    <n v="2.33"/>
    <n v="2"/>
    <n v="0"/>
    <x v="94"/>
    <n v="6"/>
    <n v="3"/>
  </r>
  <r>
    <x v="206"/>
    <x v="206"/>
    <n v="71966"/>
    <s v="Production Technician II"/>
    <s v="MA"/>
    <n v="2492"/>
    <d v="1952-02-11T00:00:00"/>
    <x v="1"/>
    <s v="Married"/>
    <x v="3"/>
    <x v="206"/>
    <n v="59"/>
    <d v="2013-08-19T00:00:00"/>
    <n v="1"/>
    <s v="unhappy"/>
    <s v="Voluntarily Terminated"/>
    <x v="0"/>
    <x v="4"/>
    <x v="0"/>
    <s v="Fully Meets"/>
    <n v="5"/>
    <n v="3"/>
    <n v="0"/>
    <x v="95"/>
    <n v="0"/>
    <n v="17"/>
  </r>
  <r>
    <x v="207"/>
    <x v="207"/>
    <n v="63051"/>
    <s v="Area Sales Manager"/>
    <s v="FL"/>
    <n v="33174"/>
    <d v="1990-05-11T00:00:00"/>
    <x v="1"/>
    <s v="Single"/>
    <x v="0"/>
    <x v="207"/>
    <n v="21"/>
    <m/>
    <s v=""/>
    <s v="N/A-StillEmployed"/>
    <s v="Active"/>
    <x v="4"/>
    <x v="16"/>
    <x v="1"/>
    <s v="Fully Meets"/>
    <n v="4.28"/>
    <n v="3"/>
    <n v="0"/>
    <x v="8"/>
    <n v="0"/>
    <n v="1"/>
  </r>
  <r>
    <x v="208"/>
    <x v="208"/>
    <n v="47414"/>
    <s v="Production Technician I"/>
    <s v="MA"/>
    <n v="2478"/>
    <d v="1976-12-11T00:00:00"/>
    <x v="0"/>
    <s v="Married"/>
    <x v="0"/>
    <x v="208"/>
    <n v="35"/>
    <m/>
    <s v=""/>
    <s v="N/A-StillEmployed"/>
    <s v="Active"/>
    <x v="0"/>
    <x v="11"/>
    <x v="0"/>
    <s v="Exceeds"/>
    <n v="5"/>
    <n v="3"/>
    <n v="0"/>
    <x v="65"/>
    <n v="0"/>
    <n v="13"/>
  </r>
  <r>
    <x v="209"/>
    <x v="209"/>
    <n v="53060"/>
    <s v="Production Technician I"/>
    <s v="MA"/>
    <n v="1760"/>
    <d v="1979-11-24T00:00:00"/>
    <x v="0"/>
    <s v="Single"/>
    <x v="1"/>
    <x v="209"/>
    <n v="32"/>
    <m/>
    <s v=""/>
    <s v="N/A-StillEmployed"/>
    <s v="Active"/>
    <x v="0"/>
    <x v="0"/>
    <x v="0"/>
    <s v="Needs Improvement"/>
    <n v="4.25"/>
    <n v="3"/>
    <n v="0"/>
    <x v="39"/>
    <n v="4"/>
    <n v="6"/>
  </r>
  <r>
    <x v="210"/>
    <x v="210"/>
    <n v="68829"/>
    <s v="Area Sales Manager"/>
    <s v="NC"/>
    <n v="27229"/>
    <d v="1982-05-19T00:00:00"/>
    <x v="0"/>
    <s v="Single"/>
    <x v="0"/>
    <x v="210"/>
    <n v="29"/>
    <m/>
    <s v=""/>
    <s v="N/A-StillEmployed"/>
    <s v="Active"/>
    <x v="4"/>
    <x v="14"/>
    <x v="7"/>
    <s v="Fully Meets"/>
    <n v="5"/>
    <n v="5"/>
    <n v="0"/>
    <x v="15"/>
    <n v="0"/>
    <n v="18"/>
  </r>
  <r>
    <x v="211"/>
    <x v="211"/>
    <n v="63515"/>
    <s v="Production Technician I"/>
    <s v="MA"/>
    <n v="2351"/>
    <d v="1979-05-01T00:00:00"/>
    <x v="1"/>
    <s v="Married"/>
    <x v="0"/>
    <x v="211"/>
    <n v="32"/>
    <d v="2014-01-12T00:00:00"/>
    <n v="1"/>
    <s v="Another position"/>
    <s v="Voluntarily Terminated"/>
    <x v="0"/>
    <x v="3"/>
    <x v="2"/>
    <s v="Fully Meets"/>
    <n v="3.89"/>
    <n v="4"/>
    <n v="0"/>
    <x v="23"/>
    <n v="0"/>
    <n v="7"/>
  </r>
  <r>
    <x v="212"/>
    <x v="212"/>
    <n v="108987"/>
    <s v="Software Engineer"/>
    <s v="MA"/>
    <n v="1844"/>
    <d v="1979-02-20T00:00:00"/>
    <x v="0"/>
    <s v="Single"/>
    <x v="1"/>
    <x v="212"/>
    <n v="32"/>
    <d v="2015-09-07T00:00:00"/>
    <n v="3"/>
    <s v="Another position"/>
    <s v="Voluntarily Terminated"/>
    <x v="2"/>
    <x v="6"/>
    <x v="4"/>
    <s v="Exceeds"/>
    <n v="5"/>
    <n v="5"/>
    <n v="3"/>
    <x v="96"/>
    <n v="0"/>
    <n v="13"/>
  </r>
  <r>
    <x v="213"/>
    <x v="213"/>
    <n v="93093"/>
    <s v="Data Analyst"/>
    <s v="MA"/>
    <n v="2747"/>
    <d v="1984-09-05T00:00:00"/>
    <x v="0"/>
    <s v="Married"/>
    <x v="0"/>
    <x v="213"/>
    <n v="27"/>
    <d v="2016-05-01T00:00:00"/>
    <n v="4"/>
    <s v="performance"/>
    <s v="Voluntarily Terminated"/>
    <x v="1"/>
    <x v="1"/>
    <x v="3"/>
    <s v="Fully Meets"/>
    <n v="4.7"/>
    <n v="4"/>
    <n v="5"/>
    <x v="97"/>
    <n v="0"/>
    <n v="19"/>
  </r>
  <r>
    <x v="214"/>
    <x v="214"/>
    <n v="53564"/>
    <s v="Production Technician I"/>
    <s v="MA"/>
    <n v="2458"/>
    <d v="1988-03-17T00:00:00"/>
    <x v="0"/>
    <s v="Single"/>
    <x v="1"/>
    <x v="214"/>
    <n v="23"/>
    <d v="2017-12-28T00:00:00"/>
    <n v="5"/>
    <s v="career change"/>
    <s v="Voluntarily Terminated"/>
    <x v="0"/>
    <x v="4"/>
    <x v="2"/>
    <s v="Needs Improvement"/>
    <n v="3.54"/>
    <n v="5"/>
    <n v="0"/>
    <x v="98"/>
    <n v="4"/>
    <n v="15"/>
  </r>
  <r>
    <x v="215"/>
    <x v="215"/>
    <n v="60270"/>
    <s v="Production Technician II"/>
    <s v="MA"/>
    <n v="2472"/>
    <d v="1989-07-18T00:00:00"/>
    <x v="1"/>
    <s v="Married"/>
    <x v="3"/>
    <x v="215"/>
    <n v="22"/>
    <d v="2015-09-15T00:00:00"/>
    <n v="3"/>
    <s v="unhappy"/>
    <s v="Voluntarily Terminated"/>
    <x v="0"/>
    <x v="5"/>
    <x v="6"/>
    <s v="Needs Improvement"/>
    <n v="2.4"/>
    <n v="5"/>
    <n v="0"/>
    <x v="99"/>
    <n v="5"/>
    <n v="2"/>
  </r>
  <r>
    <x v="216"/>
    <x v="216"/>
    <n v="45998"/>
    <s v="Production Technician I"/>
    <s v="MA"/>
    <n v="2176"/>
    <d v="1986-07-20T00:00:00"/>
    <x v="1"/>
    <s v="Single"/>
    <x v="0"/>
    <x v="216"/>
    <n v="25"/>
    <d v="2015-10-25T00:00:00"/>
    <n v="3"/>
    <s v="medical issues"/>
    <s v="Voluntarily Terminated"/>
    <x v="0"/>
    <x v="5"/>
    <x v="0"/>
    <s v="Fully Meets"/>
    <n v="3.45"/>
    <n v="4"/>
    <n v="0"/>
    <x v="100"/>
    <n v="0"/>
    <n v="5"/>
  </r>
  <r>
    <x v="217"/>
    <x v="217"/>
    <n v="57954"/>
    <s v="Production Technician II"/>
    <s v="MA"/>
    <n v="1886"/>
    <d v="1986-08-17T00:00:00"/>
    <x v="1"/>
    <s v="Married"/>
    <x v="0"/>
    <x v="217"/>
    <n v="25"/>
    <d v="2013-02-04T00:00:00"/>
    <n v="0"/>
    <s v="more money"/>
    <s v="Voluntarily Terminated"/>
    <x v="0"/>
    <x v="7"/>
    <x v="1"/>
    <s v="Exceeds"/>
    <n v="4.2"/>
    <n v="5"/>
    <n v="0"/>
    <x v="101"/>
    <n v="0"/>
    <n v="12"/>
  </r>
  <r>
    <x v="218"/>
    <x v="218"/>
    <n v="74669"/>
    <s v="Production Manager"/>
    <s v="MA"/>
    <n v="2030"/>
    <d v="1977-05-09T00:00:00"/>
    <x v="1"/>
    <s v="Married"/>
    <x v="0"/>
    <x v="218"/>
    <n v="34"/>
    <d v="2016-05-18T00:00:00"/>
    <n v="4"/>
    <s v="Another position"/>
    <s v="Voluntarily Terminated"/>
    <x v="0"/>
    <x v="13"/>
    <x v="1"/>
    <s v="Fully Meets"/>
    <n v="4.16"/>
    <n v="5"/>
    <n v="0"/>
    <x v="102"/>
    <n v="0"/>
    <n v="6"/>
  </r>
  <r>
    <x v="219"/>
    <x v="219"/>
    <n v="74226"/>
    <s v="Production Technician II"/>
    <s v="MA"/>
    <n v="2050"/>
    <d v="1979-03-10T00:00:00"/>
    <x v="1"/>
    <s v="Married"/>
    <x v="3"/>
    <x v="219"/>
    <n v="32"/>
    <m/>
    <s v=""/>
    <s v="N/A-StillEmployed"/>
    <s v="Active"/>
    <x v="0"/>
    <x v="8"/>
    <x v="0"/>
    <s v="Fully Meets"/>
    <n v="4.3"/>
    <n v="3"/>
    <n v="0"/>
    <x v="15"/>
    <n v="0"/>
    <n v="14"/>
  </r>
  <r>
    <x v="220"/>
    <x v="220"/>
    <n v="93554"/>
    <s v="Data Analyst"/>
    <s v="MA"/>
    <n v="1886"/>
    <d v="1984-09-16T00:00:00"/>
    <x v="1"/>
    <s v="Married"/>
    <x v="1"/>
    <x v="220"/>
    <n v="27"/>
    <m/>
    <s v=""/>
    <s v="N/A-StillEmployed"/>
    <s v="Active"/>
    <x v="1"/>
    <x v="1"/>
    <x v="3"/>
    <s v="Exceeds"/>
    <n v="4.5999999999999996"/>
    <n v="5"/>
    <n v="7"/>
    <x v="49"/>
    <n v="0"/>
    <n v="16"/>
  </r>
  <r>
    <x v="221"/>
    <x v="221"/>
    <n v="64724"/>
    <s v="Production Technician I"/>
    <s v="MA"/>
    <n v="2451"/>
    <d v="1988-03-06T00:00:00"/>
    <x v="0"/>
    <s v="Married"/>
    <x v="3"/>
    <x v="221"/>
    <n v="23"/>
    <d v="2012-11-30T00:00:00"/>
    <n v="0"/>
    <s v="more money"/>
    <s v="Voluntarily Terminated"/>
    <x v="0"/>
    <x v="8"/>
    <x v="2"/>
    <s v="Fully Meets"/>
    <n v="5"/>
    <n v="3"/>
    <n v="0"/>
    <x v="103"/>
    <n v="0"/>
    <n v="13"/>
  </r>
  <r>
    <x v="222"/>
    <x v="222"/>
    <n v="47001"/>
    <s v="Production Technician I"/>
    <s v="MA"/>
    <n v="2451"/>
    <d v="1981-11-23T00:00:00"/>
    <x v="0"/>
    <s v="Single"/>
    <x v="0"/>
    <x v="222"/>
    <n v="30"/>
    <m/>
    <s v=""/>
    <s v="N/A-StillEmployed"/>
    <s v="Active"/>
    <x v="0"/>
    <x v="10"/>
    <x v="2"/>
    <s v="Fully Meets"/>
    <n v="3.66"/>
    <n v="3"/>
    <n v="0"/>
    <x v="7"/>
    <n v="0"/>
    <n v="15"/>
  </r>
  <r>
    <x v="223"/>
    <x v="223"/>
    <n v="61844"/>
    <s v="Area Sales Manager"/>
    <s v="KY"/>
    <n v="40220"/>
    <d v="1988-08-29T00:00:00"/>
    <x v="1"/>
    <s v="Married"/>
    <x v="1"/>
    <x v="223"/>
    <n v="23"/>
    <m/>
    <s v=""/>
    <s v="N/A-StillEmployed"/>
    <s v="Active"/>
    <x v="4"/>
    <x v="16"/>
    <x v="7"/>
    <s v="Fully Meets"/>
    <n v="4.2"/>
    <n v="5"/>
    <n v="0"/>
    <x v="25"/>
    <n v="0"/>
    <n v="9"/>
  </r>
  <r>
    <x v="224"/>
    <x v="224"/>
    <n v="46799"/>
    <s v="Production Technician I"/>
    <s v="MA"/>
    <n v="1742"/>
    <d v="1984-10-15T00:00:00"/>
    <x v="1"/>
    <s v="Divorced"/>
    <x v="3"/>
    <x v="224"/>
    <n v="27"/>
    <d v="2018-06-04T00:00:00"/>
    <n v="6"/>
    <s v="Another position"/>
    <s v="Voluntarily Terminated"/>
    <x v="0"/>
    <x v="2"/>
    <x v="2"/>
    <s v="Fully Meets"/>
    <n v="3.17"/>
    <n v="4"/>
    <n v="0"/>
    <x v="104"/>
    <n v="0"/>
    <n v="14"/>
  </r>
  <r>
    <x v="225"/>
    <x v="225"/>
    <n v="59472"/>
    <s v="Production Technician I"/>
    <s v="MA"/>
    <n v="2109"/>
    <d v="1961-06-19T00:00:00"/>
    <x v="0"/>
    <s v="Single"/>
    <x v="0"/>
    <x v="225"/>
    <n v="50"/>
    <m/>
    <s v=""/>
    <s v="N/A-StillEmployed"/>
    <s v="Active"/>
    <x v="0"/>
    <x v="11"/>
    <x v="3"/>
    <s v="Fully Meets"/>
    <n v="4.8"/>
    <n v="3"/>
    <n v="0"/>
    <x v="5"/>
    <n v="0"/>
    <n v="14"/>
  </r>
  <r>
    <x v="226"/>
    <x v="226"/>
    <n v="46430"/>
    <s v="Production Technician I"/>
    <s v="MA"/>
    <n v="2474"/>
    <d v="1970-09-22T00:00:00"/>
    <x v="1"/>
    <s v="Divorced"/>
    <x v="0"/>
    <x v="226"/>
    <n v="41"/>
    <d v="2013-06-18T00:00:00"/>
    <n v="1"/>
    <s v="unhappy"/>
    <s v="Voluntarily Terminated"/>
    <x v="0"/>
    <x v="2"/>
    <x v="1"/>
    <s v="Fully Meets"/>
    <n v="4.5"/>
    <n v="5"/>
    <n v="0"/>
    <x v="105"/>
    <n v="0"/>
    <n v="16"/>
  </r>
  <r>
    <x v="227"/>
    <x v="227"/>
    <n v="83363"/>
    <s v="Software Engineer"/>
    <s v="MA"/>
    <n v="2045"/>
    <d v="1984-11-06T00:00:00"/>
    <x v="0"/>
    <s v="Married"/>
    <x v="1"/>
    <x v="227"/>
    <n v="27"/>
    <d v="2015-08-15T00:00:00"/>
    <n v="3"/>
    <s v="career change"/>
    <s v="Voluntarily Terminated"/>
    <x v="2"/>
    <x v="13"/>
    <x v="4"/>
    <s v="Fully Meets"/>
    <n v="4.1500000000000004"/>
    <n v="4"/>
    <n v="0"/>
    <x v="106"/>
    <n v="0"/>
    <n v="4"/>
  </r>
  <r>
    <x v="228"/>
    <x v="228"/>
    <n v="95920"/>
    <s v="BI Developer"/>
    <s v="MA"/>
    <n v="2110"/>
    <d v="1980-05-12T00:00:00"/>
    <x v="1"/>
    <s v="Married"/>
    <x v="1"/>
    <x v="228"/>
    <n v="31"/>
    <m/>
    <s v=""/>
    <s v="N/A-StillEmployed"/>
    <s v="Active"/>
    <x v="1"/>
    <x v="19"/>
    <x v="1"/>
    <s v="Fully Meets"/>
    <n v="4.4000000000000004"/>
    <n v="4"/>
    <n v="6"/>
    <x v="81"/>
    <n v="0"/>
    <n v="10"/>
  </r>
  <r>
    <x v="229"/>
    <x v="229"/>
    <n v="61729"/>
    <s v="Production Technician I"/>
    <s v="MA"/>
    <n v="2478"/>
    <d v="1984-12-31T00:00:00"/>
    <x v="0"/>
    <s v="Divorced"/>
    <x v="0"/>
    <x v="229"/>
    <n v="27"/>
    <d v="2018-04-07T00:00:00"/>
    <n v="6"/>
    <s v="more money"/>
    <s v="Voluntarily Terminated"/>
    <x v="0"/>
    <x v="0"/>
    <x v="1"/>
    <s v="Fully Meets"/>
    <n v="3.8"/>
    <n v="5"/>
    <n v="0"/>
    <x v="107"/>
    <n v="0"/>
    <n v="19"/>
  </r>
  <r>
    <x v="230"/>
    <x v="230"/>
    <n v="61809"/>
    <s v="Area Sales Manager"/>
    <s v="ID"/>
    <n v="83706"/>
    <d v="1954-10-12T00:00:00"/>
    <x v="0"/>
    <s v="Married"/>
    <x v="0"/>
    <x v="230"/>
    <n v="57"/>
    <m/>
    <s v=""/>
    <s v="N/A-StillEmployed"/>
    <s v="Active"/>
    <x v="4"/>
    <x v="14"/>
    <x v="6"/>
    <s v="Fully Meets"/>
    <n v="3.98"/>
    <n v="3"/>
    <n v="0"/>
    <x v="41"/>
    <n v="0"/>
    <n v="4"/>
  </r>
  <r>
    <x v="231"/>
    <x v="231"/>
    <n v="45115"/>
    <s v="Production Technician I"/>
    <s v="MA"/>
    <n v="2176"/>
    <d v="1982-07-22T00:00:00"/>
    <x v="0"/>
    <s v="Divorced"/>
    <x v="0"/>
    <x v="231"/>
    <n v="29"/>
    <d v="2016-01-15T00:00:00"/>
    <n v="3"/>
    <s v="retiring"/>
    <s v="Voluntarily Terminated"/>
    <x v="0"/>
    <x v="3"/>
    <x v="0"/>
    <s v="Fully Meets"/>
    <n v="5"/>
    <n v="4"/>
    <n v="0"/>
    <x v="108"/>
    <n v="0"/>
    <n v="11"/>
  </r>
  <r>
    <x v="232"/>
    <x v="232"/>
    <n v="46738"/>
    <s v="Production Technician I"/>
    <s v="MA"/>
    <n v="2171"/>
    <d v="1973-01-12T00:00:00"/>
    <x v="1"/>
    <s v="Married"/>
    <x v="3"/>
    <x v="232"/>
    <n v="39"/>
    <m/>
    <s v=""/>
    <s v="N/A-StillEmployed"/>
    <s v="Active"/>
    <x v="0"/>
    <x v="4"/>
    <x v="2"/>
    <s v="Exceeds"/>
    <n v="4.3600000000000003"/>
    <n v="5"/>
    <n v="0"/>
    <x v="72"/>
    <n v="0"/>
    <n v="16"/>
  </r>
  <r>
    <x v="233"/>
    <x v="233"/>
    <n v="64971"/>
    <s v="Production Technician II"/>
    <s v="MA"/>
    <n v="1902"/>
    <d v="1981-09-05T00:00:00"/>
    <x v="1"/>
    <s v="Divorced"/>
    <x v="1"/>
    <x v="233"/>
    <n v="30"/>
    <d v="2011-10-22T00:00:00"/>
    <s v=""/>
    <s v="return to school"/>
    <s v="Voluntarily Terminated"/>
    <x v="0"/>
    <x v="10"/>
    <x v="2"/>
    <s v="Fully Meets"/>
    <n v="4.5"/>
    <n v="4"/>
    <n v="0"/>
    <x v="109"/>
    <n v="0"/>
    <n v="10"/>
  </r>
  <r>
    <x v="234"/>
    <x v="234"/>
    <n v="55578"/>
    <s v="Production Technician II"/>
    <s v="MA"/>
    <n v="2138"/>
    <d v="1972-07-03T00:00:00"/>
    <x v="0"/>
    <s v="Married"/>
    <x v="0"/>
    <x v="234"/>
    <n v="39"/>
    <d v="2012-02-08T00:00:00"/>
    <s v=""/>
    <s v="Another position"/>
    <s v="Voluntarily Terminated"/>
    <x v="0"/>
    <x v="2"/>
    <x v="1"/>
    <s v="Fully Meets"/>
    <n v="4.2"/>
    <n v="5"/>
    <n v="0"/>
    <x v="110"/>
    <n v="0"/>
    <n v="13"/>
  </r>
  <r>
    <x v="235"/>
    <x v="235"/>
    <n v="50428"/>
    <s v="Production Technician I"/>
    <s v="MA"/>
    <n v="1420"/>
    <d v="1974-01-07T00:00:00"/>
    <x v="0"/>
    <s v="Married"/>
    <x v="1"/>
    <x v="235"/>
    <n v="38"/>
    <d v="2016-01-26T00:00:00"/>
    <n v="3"/>
    <s v="attendance"/>
    <s v="Voluntarily Terminated"/>
    <x v="0"/>
    <x v="5"/>
    <x v="1"/>
    <s v="Fully Meets"/>
    <n v="5"/>
    <n v="3"/>
    <n v="0"/>
    <x v="111"/>
    <n v="0"/>
    <n v="11"/>
  </r>
  <r>
    <x v="236"/>
    <x v="236"/>
    <n v="61422"/>
    <s v="Production Technician I"/>
    <s v="MA"/>
    <n v="1460"/>
    <d v="1985-01-07T00:00:00"/>
    <x v="1"/>
    <s v="Married"/>
    <x v="0"/>
    <x v="236"/>
    <n v="27"/>
    <d v="2016-05-17T00:00:00"/>
    <n v="4"/>
    <s v="attendance"/>
    <s v="Terminated for Cause"/>
    <x v="0"/>
    <x v="7"/>
    <x v="1"/>
    <s v="Needs Improvement"/>
    <n v="3.6"/>
    <n v="3"/>
    <n v="0"/>
    <x v="112"/>
    <n v="4"/>
    <n v="16"/>
  </r>
  <r>
    <x v="237"/>
    <x v="237"/>
    <n v="63353"/>
    <s v="Production Technician I"/>
    <s v="MA"/>
    <n v="1730"/>
    <d v="1985-01-28T00:00:00"/>
    <x v="0"/>
    <s v="Widowed"/>
    <x v="0"/>
    <x v="237"/>
    <n v="27"/>
    <m/>
    <s v=""/>
    <s v="N/A-StillEmployed"/>
    <s v="Active"/>
    <x v="0"/>
    <x v="8"/>
    <x v="3"/>
    <s v="Exceeds"/>
    <n v="3.6"/>
    <n v="5"/>
    <n v="0"/>
    <x v="72"/>
    <n v="0"/>
    <n v="4"/>
  </r>
  <r>
    <x v="238"/>
    <x v="238"/>
    <n v="89883"/>
    <s v="Data Analyst"/>
    <s v="MA"/>
    <n v="1886"/>
    <d v="1981-10-11T00:00:00"/>
    <x v="1"/>
    <s v="Married"/>
    <x v="0"/>
    <x v="238"/>
    <n v="30"/>
    <m/>
    <s v=""/>
    <s v="N/A-StillEmployed"/>
    <s v="Active"/>
    <x v="1"/>
    <x v="1"/>
    <x v="3"/>
    <s v="Fully Meets"/>
    <n v="3.69"/>
    <n v="5"/>
    <n v="6"/>
    <x v="12"/>
    <n v="0"/>
    <n v="15"/>
  </r>
  <r>
    <x v="239"/>
    <x v="239"/>
    <n v="120000"/>
    <s v="Principal Data Architect"/>
    <s v="MA"/>
    <n v="2703"/>
    <d v="1973-05-27T00:00:00"/>
    <x v="1"/>
    <s v="Single"/>
    <x v="0"/>
    <x v="239"/>
    <n v="38"/>
    <d v="2018-11-10T00:00:00"/>
    <n v="6"/>
    <s v="Another position"/>
    <s v="Voluntarily Terminated"/>
    <x v="1"/>
    <x v="1"/>
    <x v="0"/>
    <s v="Fully Meets"/>
    <n v="3.88"/>
    <n v="3"/>
    <n v="7"/>
    <x v="113"/>
    <n v="0"/>
    <n v="12"/>
  </r>
  <r>
    <x v="240"/>
    <x v="240"/>
    <n v="150290"/>
    <s v="Data Architect"/>
    <s v="MA"/>
    <n v="2056"/>
    <d v="1972-11-21T00:00:00"/>
    <x v="1"/>
    <s v="Single"/>
    <x v="1"/>
    <x v="240"/>
    <n v="39"/>
    <m/>
    <s v=""/>
    <s v="N/A-StillEmployed"/>
    <s v="Active"/>
    <x v="1"/>
    <x v="19"/>
    <x v="1"/>
    <s v="Fully Meets"/>
    <n v="4.9400000000000004"/>
    <n v="3"/>
    <n v="5"/>
    <x v="81"/>
    <n v="0"/>
    <n v="17"/>
  </r>
  <r>
    <x v="241"/>
    <x v="241"/>
    <n v="60627"/>
    <s v="Production Technician I"/>
    <s v="MA"/>
    <n v="1886"/>
    <d v="1974-12-05T00:00:00"/>
    <x v="1"/>
    <s v="Separated"/>
    <x v="0"/>
    <x v="241"/>
    <n v="37"/>
    <m/>
    <s v=""/>
    <s v="N/A-StillEmployed"/>
    <s v="Active"/>
    <x v="0"/>
    <x v="10"/>
    <x v="7"/>
    <s v="Fully Meets"/>
    <n v="5"/>
    <n v="4"/>
    <n v="0"/>
    <x v="43"/>
    <n v="0"/>
    <n v="8"/>
  </r>
  <r>
    <x v="242"/>
    <x v="242"/>
    <n v="53180"/>
    <s v="Production Technician I"/>
    <s v="MA"/>
    <n v="2155"/>
    <d v="1987-03-18T00:00:00"/>
    <x v="0"/>
    <s v="Single"/>
    <x v="0"/>
    <x v="242"/>
    <n v="24"/>
    <d v="2018-08-13T00:00:00"/>
    <n v="6"/>
    <s v="Another position"/>
    <s v="Voluntarily Terminated"/>
    <x v="0"/>
    <x v="2"/>
    <x v="2"/>
    <s v="Fully Meets"/>
    <n v="5"/>
    <n v="5"/>
    <n v="0"/>
    <x v="114"/>
    <n v="0"/>
    <n v="4"/>
  </r>
  <r>
    <x v="243"/>
    <x v="243"/>
    <n v="140920"/>
    <s v="IT Manager - DB"/>
    <s v="MA"/>
    <n v="2481"/>
    <d v="1973-04-05T00:00:00"/>
    <x v="0"/>
    <s v="Single"/>
    <x v="0"/>
    <x v="243"/>
    <n v="38"/>
    <m/>
    <s v=""/>
    <s v="N/A-StillEmployed"/>
    <s v="Active"/>
    <x v="1"/>
    <x v="15"/>
    <x v="1"/>
    <s v="Fully Meets"/>
    <n v="3.6"/>
    <n v="5"/>
    <n v="7"/>
    <x v="9"/>
    <n v="0"/>
    <n v="13"/>
  </r>
  <r>
    <x v="244"/>
    <x v="244"/>
    <n v="148999"/>
    <s v="IT Manager - DB"/>
    <s v="MA"/>
    <n v="1915"/>
    <d v="1964-01-04T00:00:00"/>
    <x v="0"/>
    <s v="Divorced"/>
    <x v="1"/>
    <x v="244"/>
    <n v="48"/>
    <d v="2015-11-04T00:00:00"/>
    <n v="3"/>
    <s v="hours"/>
    <s v="Voluntarily Terminated"/>
    <x v="1"/>
    <x v="15"/>
    <x v="4"/>
    <s v="Fully Meets"/>
    <n v="4.3"/>
    <n v="4"/>
    <n v="6"/>
    <x v="115"/>
    <n v="0"/>
    <n v="8"/>
  </r>
  <r>
    <x v="245"/>
    <x v="245"/>
    <n v="86214"/>
    <s v="Software Engineer"/>
    <s v="MA"/>
    <n v="2132"/>
    <d v="1986-07-24T00:00:00"/>
    <x v="1"/>
    <s v="Married"/>
    <x v="0"/>
    <x v="245"/>
    <n v="25"/>
    <m/>
    <s v=""/>
    <s v="N/A-StillEmployed"/>
    <s v="Active"/>
    <x v="2"/>
    <x v="6"/>
    <x v="1"/>
    <s v="Fully Meets"/>
    <n v="4.2"/>
    <n v="3"/>
    <n v="6"/>
    <x v="52"/>
    <n v="0"/>
    <n v="2"/>
  </r>
  <r>
    <x v="246"/>
    <x v="246"/>
    <n v="47750"/>
    <s v="Production Technician I"/>
    <s v="MA"/>
    <n v="1801"/>
    <d v="1968-06-06T00:00:00"/>
    <x v="1"/>
    <s v="Single"/>
    <x v="1"/>
    <x v="246"/>
    <n v="43"/>
    <m/>
    <s v=""/>
    <s v="N/A-StillEmployed"/>
    <s v="Active"/>
    <x v="0"/>
    <x v="11"/>
    <x v="4"/>
    <s v="Needs Improvement"/>
    <n v="2.6"/>
    <n v="4"/>
    <n v="0"/>
    <x v="9"/>
    <n v="5"/>
    <n v="4"/>
  </r>
  <r>
    <x v="247"/>
    <x v="247"/>
    <n v="46428"/>
    <s v="Production Technician I"/>
    <s v="MA"/>
    <n v="2148"/>
    <d v="1974-12-21T00:00:00"/>
    <x v="0"/>
    <s v="Single"/>
    <x v="0"/>
    <x v="247"/>
    <n v="37"/>
    <d v="2018-07-30T00:00:00"/>
    <n v="6"/>
    <s v="relocation out of area"/>
    <s v="Voluntarily Terminated"/>
    <x v="0"/>
    <x v="0"/>
    <x v="2"/>
    <s v="Fully Meets"/>
    <n v="4.5999999999999996"/>
    <n v="5"/>
    <n v="0"/>
    <x v="116"/>
    <n v="0"/>
    <n v="7"/>
  </r>
  <r>
    <x v="248"/>
    <x v="248"/>
    <n v="57975"/>
    <s v="Production Technician II"/>
    <s v="MA"/>
    <n v="2062"/>
    <d v="1986-04-26T00:00:00"/>
    <x v="0"/>
    <s v="Married"/>
    <x v="0"/>
    <x v="248"/>
    <n v="25"/>
    <m/>
    <s v=""/>
    <s v="N/A-StillEmployed"/>
    <s v="Active"/>
    <x v="0"/>
    <x v="11"/>
    <x v="6"/>
    <s v="Fully Meets"/>
    <n v="4.0999999999999996"/>
    <n v="3"/>
    <n v="0"/>
    <x v="18"/>
    <n v="0"/>
    <n v="13"/>
  </r>
  <r>
    <x v="249"/>
    <x v="249"/>
    <n v="88527"/>
    <s v="Data Analyst "/>
    <s v="MA"/>
    <n v="2452"/>
    <d v="1987-12-17T00:00:00"/>
    <x v="0"/>
    <s v="Divorced"/>
    <x v="1"/>
    <x v="249"/>
    <n v="24"/>
    <d v="2015-10-31T00:00:00"/>
    <n v="3"/>
    <s v="hours"/>
    <s v="Voluntarily Terminated"/>
    <x v="1"/>
    <x v="1"/>
    <x v="0"/>
    <s v="Fully Meets"/>
    <n v="4.2"/>
    <n v="3"/>
    <n v="5"/>
    <x v="117"/>
    <n v="0"/>
    <n v="2"/>
  </r>
  <r>
    <x v="250"/>
    <x v="250"/>
    <n v="56147"/>
    <s v="Production Technician I"/>
    <s v="MA"/>
    <n v="2154"/>
    <d v="1988-07-10T00:00:00"/>
    <x v="1"/>
    <s v="Married"/>
    <x v="1"/>
    <x v="250"/>
    <n v="23"/>
    <m/>
    <s v=""/>
    <s v="N/A-StillEmployed"/>
    <s v="Active"/>
    <x v="0"/>
    <x v="3"/>
    <x v="0"/>
    <s v="Fully Meets"/>
    <n v="3.51"/>
    <n v="3"/>
    <n v="0"/>
    <x v="9"/>
    <n v="0"/>
    <n v="2"/>
  </r>
  <r>
    <x v="251"/>
    <x v="251"/>
    <n v="50923"/>
    <s v="Production Technician I"/>
    <s v="MA"/>
    <n v="2191"/>
    <d v="1975-03-10T00:00:00"/>
    <x v="1"/>
    <s v="Single"/>
    <x v="3"/>
    <x v="251"/>
    <n v="37"/>
    <m/>
    <s v=""/>
    <s v="N/A-StillEmployed"/>
    <s v="Active"/>
    <x v="0"/>
    <x v="4"/>
    <x v="2"/>
    <s v="Fully Meets"/>
    <n v="5"/>
    <n v="5"/>
    <n v="0"/>
    <x v="81"/>
    <n v="0"/>
    <n v="14"/>
  </r>
  <r>
    <x v="252"/>
    <x v="252"/>
    <n v="50750"/>
    <s v="Network Engineer"/>
    <s v="MA"/>
    <n v="1773"/>
    <d v="1981-04-14T00:00:00"/>
    <x v="1"/>
    <s v="Married"/>
    <x v="0"/>
    <x v="252"/>
    <n v="30"/>
    <m/>
    <s v=""/>
    <s v="N/A-StillEmployed"/>
    <s v="Active"/>
    <x v="1"/>
    <x v="9"/>
    <x v="0"/>
    <s v="Fully Meets"/>
    <n v="3.31"/>
    <n v="3"/>
    <n v="6"/>
    <x v="5"/>
    <n v="0"/>
    <n v="7"/>
  </r>
  <r>
    <x v="253"/>
    <x v="253"/>
    <n v="52087"/>
    <s v="Production Technician I"/>
    <s v="MA"/>
    <n v="2149"/>
    <d v="1985-08-24T00:00:00"/>
    <x v="1"/>
    <s v="Married"/>
    <x v="0"/>
    <x v="253"/>
    <n v="26"/>
    <m/>
    <s v=""/>
    <s v="N/A-StillEmployed"/>
    <s v="Active"/>
    <x v="0"/>
    <x v="5"/>
    <x v="0"/>
    <s v="Fully Meets"/>
    <n v="4.8099999999999996"/>
    <n v="4"/>
    <n v="0"/>
    <x v="67"/>
    <n v="0"/>
    <n v="15"/>
  </r>
  <r>
    <x v="254"/>
    <x v="254"/>
    <n v="87826"/>
    <s v="Data Analyst"/>
    <s v="MA"/>
    <n v="2110"/>
    <d v="1970-02-08T00:00:00"/>
    <x v="0"/>
    <s v="Married"/>
    <x v="0"/>
    <x v="254"/>
    <n v="42"/>
    <m/>
    <s v=""/>
    <s v="N/A-StillEmployed"/>
    <s v="Active"/>
    <x v="1"/>
    <x v="1"/>
    <x v="3"/>
    <s v="Fully Meets"/>
    <n v="3.32"/>
    <n v="3"/>
    <n v="7"/>
    <x v="15"/>
    <n v="0"/>
    <n v="16"/>
  </r>
  <r>
    <x v="255"/>
    <x v="255"/>
    <n v="51920"/>
    <s v="Administrative Assistant"/>
    <s v="MA"/>
    <n v="2330"/>
    <d v="1988-05-19T00:00:00"/>
    <x v="1"/>
    <s v="Single"/>
    <x v="0"/>
    <x v="255"/>
    <n v="23"/>
    <m/>
    <s v=""/>
    <s v="N/A-StillEmployed"/>
    <s v="Active"/>
    <x v="3"/>
    <x v="12"/>
    <x v="7"/>
    <s v="Fully Meets"/>
    <n v="5"/>
    <n v="3"/>
    <n v="5"/>
    <x v="24"/>
    <n v="0"/>
    <n v="2"/>
  </r>
  <r>
    <x v="256"/>
    <x v="256"/>
    <n v="63878"/>
    <s v="Production Technician II"/>
    <s v="MA"/>
    <n v="1851"/>
    <d v="1987-11-25T00:00:00"/>
    <x v="1"/>
    <s v="Single"/>
    <x v="0"/>
    <x v="256"/>
    <n v="24"/>
    <d v="2015-04-08T00:00:00"/>
    <n v="3"/>
    <s v="maternity leave - did not return"/>
    <s v="Voluntarily Terminated"/>
    <x v="0"/>
    <x v="0"/>
    <x v="6"/>
    <s v="Fully Meets"/>
    <n v="4.68"/>
    <n v="4"/>
    <n v="0"/>
    <x v="118"/>
    <n v="0"/>
    <n v="20"/>
  </r>
  <r>
    <x v="257"/>
    <x v="257"/>
    <n v="60656"/>
    <s v="Production Technician II"/>
    <s v="MA"/>
    <n v="2045"/>
    <d v="1963-10-30T00:00:00"/>
    <x v="0"/>
    <s v="Single"/>
    <x v="0"/>
    <x v="257"/>
    <n v="48"/>
    <m/>
    <s v=""/>
    <s v="N/A-StillEmployed"/>
    <s v="Active"/>
    <x v="0"/>
    <x v="3"/>
    <x v="1"/>
    <s v="Exceeds"/>
    <n v="4.3"/>
    <n v="3"/>
    <n v="0"/>
    <x v="41"/>
    <n v="0"/>
    <n v="4"/>
  </r>
  <r>
    <x v="258"/>
    <x v="258"/>
    <n v="72992"/>
    <s v="Sales Manager"/>
    <s v="MA"/>
    <n v="1886"/>
    <d v="1984-08-16T00:00:00"/>
    <x v="0"/>
    <s v="Divorced"/>
    <x v="1"/>
    <x v="258"/>
    <n v="27"/>
    <m/>
    <s v=""/>
    <s v="N/A-StillEmployed"/>
    <s v="Active"/>
    <x v="4"/>
    <x v="18"/>
    <x v="4"/>
    <s v="Needs Improvement"/>
    <n v="2.4"/>
    <n v="4"/>
    <n v="0"/>
    <x v="61"/>
    <n v="2"/>
    <n v="16"/>
  </r>
  <r>
    <x v="259"/>
    <x v="259"/>
    <n v="55000"/>
    <s v="Administrative Assistant"/>
    <s v="MA"/>
    <n v="1844"/>
    <d v="1987-06-14T00:00:00"/>
    <x v="1"/>
    <s v="Married"/>
    <x v="1"/>
    <x v="259"/>
    <n v="24"/>
    <d v="2013-09-25T00:00:00"/>
    <n v="1"/>
    <s v="career change"/>
    <s v="Voluntarily Terminated"/>
    <x v="3"/>
    <x v="12"/>
    <x v="4"/>
    <s v="Fully Meets"/>
    <n v="3.8"/>
    <n v="4"/>
    <n v="4"/>
    <x v="119"/>
    <n v="0"/>
    <n v="17"/>
  </r>
  <r>
    <x v="260"/>
    <x v="260"/>
    <n v="58939"/>
    <s v="Production Technician I"/>
    <s v="MA"/>
    <n v="2130"/>
    <d v="1965-02-02T00:00:00"/>
    <x v="1"/>
    <s v="Single"/>
    <x v="0"/>
    <x v="260"/>
    <n v="47"/>
    <m/>
    <s v=""/>
    <s v="N/A-StillEmployed"/>
    <s v="Active"/>
    <x v="0"/>
    <x v="7"/>
    <x v="3"/>
    <s v="Fully Meets"/>
    <n v="3.73"/>
    <n v="3"/>
    <n v="0"/>
    <x v="42"/>
    <n v="0"/>
    <n v="16"/>
  </r>
  <r>
    <x v="261"/>
    <x v="261"/>
    <n v="66593"/>
    <s v="IT Support"/>
    <s v="MA"/>
    <n v="2360"/>
    <d v="1973-03-12T00:00:00"/>
    <x v="1"/>
    <s v="Married"/>
    <x v="1"/>
    <x v="261"/>
    <n v="39"/>
    <m/>
    <s v=""/>
    <s v="N/A-StillEmployed"/>
    <s v="Active"/>
    <x v="1"/>
    <x v="17"/>
    <x v="0"/>
    <s v="Fully Meets"/>
    <n v="4.3"/>
    <n v="3"/>
    <n v="5"/>
    <x v="59"/>
    <n v="0"/>
    <n v="19"/>
  </r>
  <r>
    <x v="262"/>
    <x v="262"/>
    <n v="87565"/>
    <s v="Sr. Network Engineer"/>
    <s v="MA"/>
    <n v="1545"/>
    <d v="1983-02-09T00:00:00"/>
    <x v="0"/>
    <s v="Married"/>
    <x v="3"/>
    <x v="262"/>
    <n v="29"/>
    <m/>
    <s v=""/>
    <s v="N/A-StillEmployed"/>
    <s v="Active"/>
    <x v="1"/>
    <x v="9"/>
    <x v="0"/>
    <s v="Fully Meets"/>
    <n v="3.27"/>
    <n v="4"/>
    <n v="5"/>
    <x v="15"/>
    <n v="0"/>
    <n v="13"/>
  </r>
  <r>
    <x v="263"/>
    <x v="263"/>
    <n v="64021"/>
    <s v="Production Technician I"/>
    <s v="MA"/>
    <n v="2093"/>
    <d v="1968-07-20T00:00:00"/>
    <x v="1"/>
    <s v="Married"/>
    <x v="0"/>
    <x v="263"/>
    <n v="43"/>
    <m/>
    <s v=""/>
    <s v="N/A-StillEmployed"/>
    <s v="Active"/>
    <x v="0"/>
    <x v="8"/>
    <x v="1"/>
    <s v="PIP"/>
    <n v="2.4"/>
    <n v="2"/>
    <n v="1"/>
    <x v="7"/>
    <n v="6"/>
    <n v="20"/>
  </r>
  <r>
    <x v="264"/>
    <x v="264"/>
    <n v="65714"/>
    <s v="Production Manager"/>
    <s v="MA"/>
    <n v="2451"/>
    <d v="1975-09-30T00:00:00"/>
    <x v="1"/>
    <s v="Married"/>
    <x v="0"/>
    <x v="264"/>
    <n v="36"/>
    <m/>
    <s v=""/>
    <s v="N/A-StillEmployed"/>
    <s v="Active"/>
    <x v="0"/>
    <x v="13"/>
    <x v="0"/>
    <s v="Fully Meets"/>
    <n v="4.83"/>
    <n v="5"/>
    <n v="0"/>
    <x v="12"/>
    <n v="0"/>
    <n v="15"/>
  </r>
  <r>
    <x v="265"/>
    <x v="265"/>
    <n v="62425"/>
    <s v="Production Technician I"/>
    <s v="MA"/>
    <n v="2359"/>
    <d v="1973-03-26T00:00:00"/>
    <x v="1"/>
    <s v="Divorced"/>
    <x v="0"/>
    <x v="265"/>
    <n v="39"/>
    <d v="2015-06-29T00:00:00"/>
    <n v="3"/>
    <s v="unhappy"/>
    <s v="Voluntarily Terminated"/>
    <x v="0"/>
    <x v="10"/>
    <x v="0"/>
    <s v="Exceeds"/>
    <n v="4.0999999999999996"/>
    <n v="4"/>
    <n v="0"/>
    <x v="120"/>
    <n v="0"/>
    <n v="16"/>
  </r>
  <r>
    <x v="266"/>
    <x v="266"/>
    <n v="47961"/>
    <s v="Production Technician I"/>
    <s v="MA"/>
    <n v="2050"/>
    <d v="1982-08-25T00:00:00"/>
    <x v="1"/>
    <s v="Divorced"/>
    <x v="2"/>
    <x v="266"/>
    <n v="29"/>
    <m/>
    <s v=""/>
    <s v="N/A-StillEmployed"/>
    <s v="Active"/>
    <x v="0"/>
    <x v="2"/>
    <x v="2"/>
    <s v="Fully Meets"/>
    <n v="4.0999999999999996"/>
    <n v="4"/>
    <n v="0"/>
    <x v="65"/>
    <n v="0"/>
    <n v="9"/>
  </r>
  <r>
    <x v="267"/>
    <x v="267"/>
    <n v="58273"/>
    <s v="Area Sales Manager"/>
    <s v="NV"/>
    <n v="89139"/>
    <d v="1974-05-09T00:00:00"/>
    <x v="0"/>
    <s v="Married"/>
    <x v="0"/>
    <x v="267"/>
    <n v="37"/>
    <m/>
    <s v=""/>
    <s v="N/A-StillEmployed"/>
    <s v="Active"/>
    <x v="4"/>
    <x v="16"/>
    <x v="7"/>
    <s v="PIP"/>
    <n v="1.81"/>
    <n v="2"/>
    <n v="0"/>
    <x v="0"/>
    <n v="3"/>
    <n v="5"/>
  </r>
  <r>
    <x v="268"/>
    <x v="268"/>
    <n v="63003"/>
    <s v="Accountant I"/>
    <s v="MA"/>
    <n v="2703"/>
    <d v="1986-09-01T00:00:00"/>
    <x v="0"/>
    <s v="Single"/>
    <x v="0"/>
    <x v="268"/>
    <n v="25"/>
    <m/>
    <s v=""/>
    <s v="N/A-StillEmployed"/>
    <s v="Active"/>
    <x v="3"/>
    <x v="12"/>
    <x v="1"/>
    <s v="Fully Meets"/>
    <n v="3.9"/>
    <n v="5"/>
    <n v="5"/>
    <x v="48"/>
    <n v="0"/>
    <n v="9"/>
  </r>
  <r>
    <x v="269"/>
    <x v="269"/>
    <n v="61355"/>
    <s v="Production Technician I"/>
    <s v="MA"/>
    <n v="2301"/>
    <d v="1985-03-14T00:00:00"/>
    <x v="0"/>
    <s v="Married"/>
    <x v="3"/>
    <x v="269"/>
    <n v="27"/>
    <m/>
    <s v=""/>
    <s v="N/A-StillEmployed"/>
    <s v="Active"/>
    <x v="0"/>
    <x v="11"/>
    <x v="0"/>
    <s v="Fully Meets"/>
    <n v="4.7"/>
    <n v="3"/>
    <n v="0"/>
    <x v="17"/>
    <n v="0"/>
    <n v="4"/>
  </r>
  <r>
    <x v="270"/>
    <x v="270"/>
    <n v="60120"/>
    <s v="Area Sales Manager"/>
    <s v="MT"/>
    <n v="59102"/>
    <d v="1989-05-12T00:00:00"/>
    <x v="1"/>
    <s v="Married"/>
    <x v="1"/>
    <x v="270"/>
    <n v="22"/>
    <m/>
    <s v=""/>
    <s v="N/A-StillEmployed"/>
    <s v="Active"/>
    <x v="4"/>
    <x v="14"/>
    <x v="1"/>
    <s v="Fully Meets"/>
    <n v="4.0999999999999996"/>
    <n v="4"/>
    <n v="0"/>
    <x v="43"/>
    <n v="0"/>
    <n v="18"/>
  </r>
  <r>
    <x v="271"/>
    <x v="271"/>
    <n v="63682"/>
    <s v="Production Manager"/>
    <s v="MA"/>
    <n v="1776"/>
    <d v="1978-03-28T00:00:00"/>
    <x v="1"/>
    <s v="Married"/>
    <x v="1"/>
    <x v="271"/>
    <n v="34"/>
    <m/>
    <s v=""/>
    <s v="N/A-StillEmployed"/>
    <s v="Active"/>
    <x v="0"/>
    <x v="13"/>
    <x v="1"/>
    <s v="Fully Meets"/>
    <n v="3.73"/>
    <n v="4"/>
    <n v="0"/>
    <x v="42"/>
    <n v="0"/>
    <n v="12"/>
  </r>
  <r>
    <x v="272"/>
    <x v="272"/>
    <n v="63025"/>
    <s v="Production Technician I"/>
    <s v="MA"/>
    <n v="2747"/>
    <d v="1982-10-07T00:00:00"/>
    <x v="0"/>
    <s v="Married"/>
    <x v="0"/>
    <x v="272"/>
    <n v="29"/>
    <m/>
    <s v=""/>
    <s v="N/A-StillEmployed"/>
    <s v="Active"/>
    <x v="0"/>
    <x v="0"/>
    <x v="2"/>
    <s v="Fully Meets"/>
    <n v="4.3600000000000003"/>
    <n v="5"/>
    <n v="0"/>
    <x v="42"/>
    <n v="0"/>
    <n v="10"/>
  </r>
  <r>
    <x v="273"/>
    <x v="273"/>
    <n v="59238"/>
    <s v="Production Technician I"/>
    <s v="MA"/>
    <n v="2718"/>
    <d v="1968-08-15T00:00:00"/>
    <x v="1"/>
    <s v="Single"/>
    <x v="3"/>
    <x v="273"/>
    <n v="43"/>
    <m/>
    <s v=""/>
    <s v="N/A-StillEmployed"/>
    <s v="Active"/>
    <x v="0"/>
    <x v="3"/>
    <x v="1"/>
    <s v="Fully Meets"/>
    <n v="3.4"/>
    <n v="5"/>
    <n v="0"/>
    <x v="43"/>
    <n v="0"/>
    <n v="13"/>
  </r>
  <r>
    <x v="274"/>
    <x v="274"/>
    <n v="92989"/>
    <s v="Software Engineer"/>
    <s v="MA"/>
    <n v="2140"/>
    <d v="1983-05-06T00:00:00"/>
    <x v="0"/>
    <s v="Single"/>
    <x v="0"/>
    <x v="274"/>
    <n v="28"/>
    <m/>
    <s v=""/>
    <s v="N/A-StillEmployed"/>
    <s v="Active"/>
    <x v="2"/>
    <x v="6"/>
    <x v="0"/>
    <s v="Exceeds"/>
    <n v="4.5"/>
    <n v="5"/>
    <n v="5"/>
    <x v="9"/>
    <n v="0"/>
    <n v="1"/>
  </r>
  <r>
    <x v="275"/>
    <x v="275"/>
    <n v="90100"/>
    <s v="BI Developer"/>
    <s v="MA"/>
    <n v="2134"/>
    <d v="1987-10-24T00:00:00"/>
    <x v="0"/>
    <s v="Married"/>
    <x v="0"/>
    <x v="275"/>
    <n v="24"/>
    <m/>
    <s v=""/>
    <s v="N/A-StillEmployed"/>
    <s v="Active"/>
    <x v="1"/>
    <x v="19"/>
    <x v="1"/>
    <s v="Fully Meets"/>
    <n v="3.4"/>
    <n v="3"/>
    <n v="6"/>
    <x v="6"/>
    <n v="0"/>
    <n v="14"/>
  </r>
  <r>
    <x v="276"/>
    <x v="276"/>
    <n v="60754"/>
    <s v="Production Technician I"/>
    <s v="MA"/>
    <n v="1801"/>
    <d v="1975-04-03T00:00:00"/>
    <x v="1"/>
    <s v="Married"/>
    <x v="1"/>
    <x v="276"/>
    <n v="37"/>
    <d v="2013-04-01T00:00:00"/>
    <n v="0"/>
    <s v="Another position"/>
    <s v="Voluntarily Terminated"/>
    <x v="0"/>
    <x v="4"/>
    <x v="4"/>
    <s v="Fully Meets"/>
    <n v="4.5"/>
    <n v="5"/>
    <n v="0"/>
    <x v="121"/>
    <n v="0"/>
    <n v="11"/>
  </r>
  <r>
    <x v="277"/>
    <x v="277"/>
    <n v="72202"/>
    <s v="Production Technician II"/>
    <s v="MA"/>
    <n v="2129"/>
    <d v="1953-05-24T00:00:00"/>
    <x v="1"/>
    <s v="Married"/>
    <x v="0"/>
    <x v="277"/>
    <n v="58"/>
    <d v="2017-07-08T00:00:00"/>
    <n v="5"/>
    <s v="Another position"/>
    <s v="Voluntarily Terminated"/>
    <x v="0"/>
    <x v="3"/>
    <x v="2"/>
    <s v="Fully Meets"/>
    <n v="3.93"/>
    <n v="3"/>
    <n v="0"/>
    <x v="122"/>
    <n v="0"/>
    <n v="3"/>
  </r>
  <r>
    <x v="278"/>
    <x v="278"/>
    <n v="58370"/>
    <s v="Area Sales Manager"/>
    <s v="OR"/>
    <n v="97756"/>
    <d v="1965-05-07T00:00:00"/>
    <x v="1"/>
    <s v="Single"/>
    <x v="1"/>
    <x v="278"/>
    <n v="46"/>
    <m/>
    <s v=""/>
    <s v="N/A-StillEmployed"/>
    <s v="Active"/>
    <x v="4"/>
    <x v="16"/>
    <x v="1"/>
    <s v="Fully Meets"/>
    <n v="3.69"/>
    <n v="3"/>
    <n v="0"/>
    <x v="41"/>
    <n v="0"/>
    <n v="18"/>
  </r>
  <r>
    <x v="279"/>
    <x v="279"/>
    <n v="48413"/>
    <s v="Production Technician I"/>
    <s v="MA"/>
    <n v="2066"/>
    <d v="1965-05-09T00:00:00"/>
    <x v="1"/>
    <s v="Single"/>
    <x v="0"/>
    <x v="279"/>
    <n v="46"/>
    <d v="2016-09-05T00:00:00"/>
    <n v="4"/>
    <s v="return to school"/>
    <s v="Voluntarily Terminated"/>
    <x v="0"/>
    <x v="5"/>
    <x v="1"/>
    <s v="Fully Meets"/>
    <n v="3.98"/>
    <n v="4"/>
    <n v="0"/>
    <x v="123"/>
    <n v="0"/>
    <n v="1"/>
  </r>
  <r>
    <x v="280"/>
    <x v="280"/>
    <n v="67176"/>
    <s v="Production Technician II"/>
    <s v="MA"/>
    <n v="2472"/>
    <d v="1975-09-16T00:00:00"/>
    <x v="0"/>
    <s v="Widowed"/>
    <x v="0"/>
    <x v="280"/>
    <n v="36"/>
    <d v="2010-08-30T00:00:00"/>
    <s v=""/>
    <s v="military"/>
    <s v="Voluntarily Terminated"/>
    <x v="0"/>
    <x v="4"/>
    <x v="8"/>
    <s v="Fully Meets"/>
    <n v="4.0999999999999996"/>
    <n v="4"/>
    <n v="0"/>
    <x v="124"/>
    <n v="0"/>
    <n v="15"/>
  </r>
  <r>
    <x v="281"/>
    <x v="281"/>
    <n v="56339"/>
    <s v="Production Technician I"/>
    <s v="MA"/>
    <n v="2093"/>
    <d v="1967-06-05T00:00:00"/>
    <x v="1"/>
    <s v="Divorced"/>
    <x v="1"/>
    <x v="281"/>
    <n v="44"/>
    <m/>
    <s v=""/>
    <s v="N/A-StillEmployed"/>
    <s v="Active"/>
    <x v="0"/>
    <x v="8"/>
    <x v="1"/>
    <s v="Fully Meets"/>
    <n v="4.21"/>
    <n v="5"/>
    <n v="0"/>
    <x v="15"/>
    <n v="0"/>
    <n v="4"/>
  </r>
  <r>
    <x v="282"/>
    <x v="282"/>
    <n v="64397"/>
    <s v="Area Sales Manager"/>
    <s v="ND"/>
    <n v="58782"/>
    <d v="1968-01-15T00:00:00"/>
    <x v="0"/>
    <s v="Separated"/>
    <x v="0"/>
    <x v="282"/>
    <n v="44"/>
    <m/>
    <s v=""/>
    <s v="N/A-StillEmployed"/>
    <s v="Active"/>
    <x v="4"/>
    <x v="16"/>
    <x v="1"/>
    <s v="Exceeds"/>
    <n v="4.0999999999999996"/>
    <n v="3"/>
    <n v="0"/>
    <x v="49"/>
    <n v="0"/>
    <n v="6"/>
  </r>
  <r>
    <x v="283"/>
    <x v="283"/>
    <n v="63025"/>
    <s v="Production Technician I"/>
    <s v="MA"/>
    <n v="2021"/>
    <d v="1983-05-16T00:00:00"/>
    <x v="1"/>
    <s v="Single"/>
    <x v="0"/>
    <x v="283"/>
    <n v="28"/>
    <m/>
    <s v=""/>
    <s v="N/A-StillEmployed"/>
    <s v="Active"/>
    <x v="0"/>
    <x v="10"/>
    <x v="0"/>
    <s v="Needs Improvement"/>
    <n v="2.44"/>
    <n v="5"/>
    <n v="0"/>
    <x v="72"/>
    <n v="4"/>
    <n v="18"/>
  </r>
  <r>
    <x v="284"/>
    <x v="284"/>
    <n v="75281"/>
    <s v="Network Engineer"/>
    <s v="MA"/>
    <n v="1420"/>
    <d v="1988-05-05T00:00:00"/>
    <x v="0"/>
    <s v="Married"/>
    <x v="0"/>
    <x v="284"/>
    <n v="23"/>
    <d v="2016-02-12T00:00:00"/>
    <n v="3"/>
    <s v="medical issues"/>
    <s v="Voluntarily Terminated"/>
    <x v="1"/>
    <x v="9"/>
    <x v="6"/>
    <s v="Fully Meets"/>
    <n v="5"/>
    <n v="3"/>
    <n v="5"/>
    <x v="75"/>
    <n v="0"/>
    <n v="11"/>
  </r>
  <r>
    <x v="285"/>
    <x v="285"/>
    <n v="100416"/>
    <s v="Software Engineer"/>
    <s v="MA"/>
    <n v="2451"/>
    <d v="1983-06-14T00:00:00"/>
    <x v="0"/>
    <s v="Single"/>
    <x v="1"/>
    <x v="285"/>
    <n v="28"/>
    <d v="2018-04-15T00:00:00"/>
    <n v="6"/>
    <s v="medical issues"/>
    <s v="Voluntarily Terminated"/>
    <x v="2"/>
    <x v="6"/>
    <x v="4"/>
    <s v="Fully Meets"/>
    <n v="4.5999999999999996"/>
    <n v="3"/>
    <n v="4"/>
    <x v="125"/>
    <n v="0"/>
    <n v="9"/>
  </r>
  <r>
    <x v="286"/>
    <x v="286"/>
    <n v="74813"/>
    <s v="Production Technician II"/>
    <s v="MA"/>
    <n v="1778"/>
    <d v="1985-03-15T00:00:00"/>
    <x v="1"/>
    <s v="Single"/>
    <x v="0"/>
    <x v="286"/>
    <n v="27"/>
    <d v="2014-07-02T00:00:00"/>
    <n v="2"/>
    <s v="unhappy"/>
    <s v="Voluntarily Terminated"/>
    <x v="0"/>
    <x v="5"/>
    <x v="0"/>
    <s v="Fully Meets"/>
    <n v="4.4000000000000004"/>
    <n v="3"/>
    <n v="0"/>
    <x v="126"/>
    <n v="0"/>
    <n v="5"/>
  </r>
  <r>
    <x v="287"/>
    <x v="287"/>
    <n v="76029"/>
    <s v="Network Engineer"/>
    <s v="MA"/>
    <n v="2343"/>
    <d v="1969-03-31T00:00:00"/>
    <x v="0"/>
    <s v="Married"/>
    <x v="0"/>
    <x v="287"/>
    <n v="43"/>
    <m/>
    <s v=""/>
    <s v="N/A-StillEmployed"/>
    <s v="Active"/>
    <x v="1"/>
    <x v="9"/>
    <x v="3"/>
    <s v="Fully Meets"/>
    <n v="5"/>
    <n v="4"/>
    <n v="7"/>
    <x v="15"/>
    <n v="0"/>
    <n v="8"/>
  </r>
  <r>
    <x v="288"/>
    <x v="288"/>
    <n v="57859"/>
    <s v="Area Sales Manager"/>
    <s v="AZ"/>
    <n v="85006"/>
    <d v="1991-05-23T00:00:00"/>
    <x v="1"/>
    <s v="Married"/>
    <x v="2"/>
    <x v="288"/>
    <n v="20"/>
    <m/>
    <s v=""/>
    <s v="N/A-StillEmployed"/>
    <s v="Active"/>
    <x v="4"/>
    <x v="14"/>
    <x v="1"/>
    <s v="Fully Meets"/>
    <n v="2.81"/>
    <n v="3"/>
    <n v="0"/>
    <x v="0"/>
    <n v="0"/>
    <n v="16"/>
  </r>
  <r>
    <x v="289"/>
    <x v="289"/>
    <n v="58523"/>
    <s v="Production Technician I"/>
    <s v="MA"/>
    <n v="2171"/>
    <d v="1987-01-31T00:00:00"/>
    <x v="0"/>
    <s v="Divorced"/>
    <x v="0"/>
    <x v="289"/>
    <n v="25"/>
    <d v="2016-02-05T00:00:00"/>
    <n v="3"/>
    <s v="maternity leave - did not return"/>
    <s v="Voluntarily Terminated"/>
    <x v="0"/>
    <x v="2"/>
    <x v="0"/>
    <s v="Exceeds"/>
    <n v="4.5"/>
    <n v="5"/>
    <n v="0"/>
    <x v="4"/>
    <n v="0"/>
    <n v="15"/>
  </r>
  <r>
    <x v="290"/>
    <x v="290"/>
    <n v="88976"/>
    <s v="Production Manager"/>
    <s v="MA"/>
    <n v="2169"/>
    <d v="1968-10-10T00:00:00"/>
    <x v="0"/>
    <s v="Divorced"/>
    <x v="0"/>
    <x v="290"/>
    <n v="43"/>
    <m/>
    <s v=""/>
    <s v="N/A-StillEmployed"/>
    <s v="Active"/>
    <x v="0"/>
    <x v="13"/>
    <x v="3"/>
    <s v="Fully Meets"/>
    <n v="3.93"/>
    <n v="3"/>
    <n v="0"/>
    <x v="19"/>
    <n v="0"/>
    <n v="19"/>
  </r>
  <r>
    <x v="291"/>
    <x v="291"/>
    <n v="55875"/>
    <s v="Area Sales Manager"/>
    <s v="ME"/>
    <n v="4063"/>
    <d v="1989-07-11T00:00:00"/>
    <x v="0"/>
    <s v="Single"/>
    <x v="3"/>
    <x v="291"/>
    <n v="22"/>
    <m/>
    <s v=""/>
    <s v="N/A-StillEmployed"/>
    <s v="Active"/>
    <x v="4"/>
    <x v="14"/>
    <x v="7"/>
    <s v="Fully Meets"/>
    <n v="4.5"/>
    <n v="4"/>
    <n v="0"/>
    <x v="48"/>
    <n v="0"/>
    <n v="11"/>
  </r>
  <r>
    <x v="292"/>
    <x v="292"/>
    <n v="113999"/>
    <s v="Database Administrator"/>
    <s v="MA"/>
    <n v="1960"/>
    <d v="1986-08-07T00:00:00"/>
    <x v="0"/>
    <s v="Married"/>
    <x v="1"/>
    <x v="292"/>
    <n v="25"/>
    <d v="2017-02-22T00:00:00"/>
    <n v="4"/>
    <s v="no-call, no-show"/>
    <s v="Terminated for Cause"/>
    <x v="1"/>
    <x v="1"/>
    <x v="3"/>
    <s v="Fully Meets"/>
    <n v="4.33"/>
    <n v="3"/>
    <n v="7"/>
    <x v="127"/>
    <n v="0"/>
    <n v="9"/>
  </r>
  <r>
    <x v="293"/>
    <x v="293"/>
    <n v="49773"/>
    <s v="Production Technician I"/>
    <s v="MA"/>
    <n v="2747"/>
    <d v="1986-06-03T00:00:00"/>
    <x v="1"/>
    <s v="Married"/>
    <x v="0"/>
    <x v="293"/>
    <n v="25"/>
    <d v="2016-02-08T00:00:00"/>
    <n v="3"/>
    <s v="gross misconduct"/>
    <s v="Terminated for Cause"/>
    <x v="0"/>
    <x v="11"/>
    <x v="2"/>
    <s v="Exceeds"/>
    <n v="4.3"/>
    <n v="5"/>
    <n v="0"/>
    <x v="128"/>
    <n v="0"/>
    <n v="18"/>
  </r>
  <r>
    <x v="294"/>
    <x v="294"/>
    <n v="62068"/>
    <s v="Production Technician I"/>
    <s v="MA"/>
    <n v="2124"/>
    <d v="1985-04-06T00:00:00"/>
    <x v="1"/>
    <s v="Single"/>
    <x v="0"/>
    <x v="294"/>
    <n v="27"/>
    <m/>
    <s v=""/>
    <s v="N/A-StillEmployed"/>
    <s v="Active"/>
    <x v="0"/>
    <x v="0"/>
    <x v="0"/>
    <s v="Fully Meets"/>
    <n v="3.21"/>
    <n v="3"/>
    <n v="0"/>
    <x v="47"/>
    <n v="0"/>
    <n v="7"/>
  </r>
  <r>
    <x v="295"/>
    <x v="295"/>
    <n v="66541"/>
    <s v="Production Technician II"/>
    <s v="MA"/>
    <n v="2459"/>
    <d v="1976-02-10T00:00:00"/>
    <x v="0"/>
    <s v="Single"/>
    <x v="1"/>
    <x v="295"/>
    <n v="36"/>
    <m/>
    <s v=""/>
    <s v="N/A-StillEmployed"/>
    <s v="Active"/>
    <x v="0"/>
    <x v="7"/>
    <x v="3"/>
    <s v="Fully Meets"/>
    <n v="3.11"/>
    <n v="5"/>
    <n v="0"/>
    <x v="31"/>
    <n v="0"/>
    <n v="4"/>
  </r>
  <r>
    <x v="296"/>
    <x v="296"/>
    <n v="80512"/>
    <s v="Production Manager"/>
    <s v="MA"/>
    <n v="2478"/>
    <d v="1955-11-14T00:00:00"/>
    <x v="1"/>
    <s v="Married"/>
    <x v="1"/>
    <x v="296"/>
    <n v="56"/>
    <d v="2012-01-02T00:00:00"/>
    <s v=""/>
    <s v="Another position"/>
    <s v="Voluntarily Terminated"/>
    <x v="0"/>
    <x v="13"/>
    <x v="4"/>
    <s v="Fully Meets"/>
    <n v="4.5"/>
    <n v="3"/>
    <n v="0"/>
    <x v="129"/>
    <n v="0"/>
    <n v="5"/>
  </r>
  <r>
    <x v="297"/>
    <x v="297"/>
    <n v="50274"/>
    <s v="Production Technician I"/>
    <s v="MA"/>
    <n v="1887"/>
    <d v="1980-08-02T00:00:00"/>
    <x v="1"/>
    <s v="Single"/>
    <x v="0"/>
    <x v="297"/>
    <n v="31"/>
    <d v="2015-09-01T00:00:00"/>
    <n v="3"/>
    <s v="career change"/>
    <s v="Voluntarily Terminated"/>
    <x v="0"/>
    <x v="3"/>
    <x v="6"/>
    <s v="Needs Improvement"/>
    <n v="2.5"/>
    <n v="3"/>
    <n v="0"/>
    <x v="130"/>
    <n v="6"/>
    <n v="13"/>
  </r>
  <r>
    <x v="298"/>
    <x v="298"/>
    <n v="84903"/>
    <s v="Senior BI Developer"/>
    <s v="MA"/>
    <n v="1887"/>
    <d v="1981-07-08T00:00:00"/>
    <x v="0"/>
    <s v="Single"/>
    <x v="3"/>
    <x v="298"/>
    <n v="30"/>
    <m/>
    <s v=""/>
    <s v="N/A-StillEmployed"/>
    <s v="Active"/>
    <x v="1"/>
    <x v="19"/>
    <x v="1"/>
    <s v="Fully Meets"/>
    <n v="3.42"/>
    <n v="4"/>
    <n v="7"/>
    <x v="49"/>
    <n v="0"/>
    <n v="17"/>
  </r>
  <r>
    <x v="299"/>
    <x v="299"/>
    <n v="107226"/>
    <s v="Sr. Network Engineer"/>
    <s v="MA"/>
    <n v="2453"/>
    <d v="1978-05-02T00:00:00"/>
    <x v="1"/>
    <s v="Widowed"/>
    <x v="3"/>
    <x v="299"/>
    <n v="33"/>
    <m/>
    <s v=""/>
    <s v="N/A-StillEmployed"/>
    <s v="Active"/>
    <x v="1"/>
    <x v="9"/>
    <x v="3"/>
    <s v="Fully Meets"/>
    <n v="4.2"/>
    <n v="4"/>
    <n v="8"/>
    <x v="131"/>
    <n v="0"/>
    <n v="7"/>
  </r>
  <r>
    <x v="300"/>
    <x v="300"/>
    <n v="58371"/>
    <s v="Production Technician I"/>
    <s v="MA"/>
    <n v="2030"/>
    <d v="1987-05-24T00:00:00"/>
    <x v="0"/>
    <s v="Single"/>
    <x v="0"/>
    <x v="300"/>
    <n v="24"/>
    <d v="2014-05-15T00:00:00"/>
    <n v="2"/>
    <s v="hours"/>
    <s v="Voluntarily Terminated"/>
    <x v="0"/>
    <x v="4"/>
    <x v="0"/>
    <s v="Fully Meets"/>
    <n v="5"/>
    <n v="5"/>
    <n v="0"/>
    <x v="132"/>
    <n v="0"/>
    <n v="11"/>
  </r>
  <r>
    <x v="301"/>
    <x v="301"/>
    <n v="55140"/>
    <s v="Production Technician I"/>
    <s v="MA"/>
    <n v="2324"/>
    <d v="1965-09-09T00:00:00"/>
    <x v="0"/>
    <s v="Married"/>
    <x v="0"/>
    <x v="301"/>
    <n v="46"/>
    <d v="2015-09-07T00:00:00"/>
    <n v="3"/>
    <s v="unhappy"/>
    <s v="Voluntarily Terminated"/>
    <x v="0"/>
    <x v="5"/>
    <x v="7"/>
    <s v="Fully Meets"/>
    <n v="5"/>
    <n v="3"/>
    <n v="0"/>
    <x v="82"/>
    <n v="0"/>
    <n v="7"/>
  </r>
  <r>
    <x v="302"/>
    <x v="302"/>
    <n v="58062"/>
    <s v="Production Technician I"/>
    <s v="MA"/>
    <n v="1876"/>
    <d v="1983-07-30T00:00:00"/>
    <x v="1"/>
    <s v="Divorced"/>
    <x v="0"/>
    <x v="302"/>
    <n v="28"/>
    <d v="2012-05-14T00:00:00"/>
    <n v="0"/>
    <s v="Another position"/>
    <s v="Voluntarily Terminated"/>
    <x v="0"/>
    <x v="7"/>
    <x v="2"/>
    <s v="Fully Meets"/>
    <n v="3.6"/>
    <n v="5"/>
    <n v="0"/>
    <x v="133"/>
    <n v="0"/>
    <n v="9"/>
  </r>
  <r>
    <x v="303"/>
    <x v="303"/>
    <n v="59728"/>
    <s v="Production Technician I"/>
    <s v="MA"/>
    <n v="2109"/>
    <d v="1969-10-02T00:00:00"/>
    <x v="1"/>
    <s v="Single"/>
    <x v="1"/>
    <x v="303"/>
    <n v="42"/>
    <d v="2015-06-27T00:00:00"/>
    <n v="3"/>
    <s v="relocation out of area"/>
    <s v="Voluntarily Terminated"/>
    <x v="0"/>
    <x v="7"/>
    <x v="4"/>
    <s v="Fully Meets"/>
    <n v="4.3"/>
    <n v="4"/>
    <n v="0"/>
    <x v="134"/>
    <n v="0"/>
    <n v="16"/>
  </r>
  <r>
    <x v="304"/>
    <x v="304"/>
    <n v="70507"/>
    <s v="Production Technician II"/>
    <s v="MA"/>
    <n v="2045"/>
    <d v="1958-11-07T00:00:00"/>
    <x v="0"/>
    <s v="Single"/>
    <x v="0"/>
    <x v="304"/>
    <n v="53"/>
    <d v="2016-02-21T00:00:00"/>
    <n v="3"/>
    <s v="retiring"/>
    <s v="Voluntarily Terminated"/>
    <x v="0"/>
    <x v="8"/>
    <x v="0"/>
    <s v="Exceeds"/>
    <n v="5"/>
    <n v="3"/>
    <n v="0"/>
    <x v="135"/>
    <n v="0"/>
    <n v="7"/>
  </r>
  <r>
    <x v="305"/>
    <x v="305"/>
    <n v="60446"/>
    <s v="Production Technician II"/>
    <s v="MA"/>
    <n v="2302"/>
    <d v="1985-04-20T00:00:00"/>
    <x v="1"/>
    <s v="Single"/>
    <x v="0"/>
    <x v="305"/>
    <n v="27"/>
    <m/>
    <s v=""/>
    <s v="N/A-StillEmployed"/>
    <s v="Active"/>
    <x v="0"/>
    <x v="10"/>
    <x v="0"/>
    <s v="Fully Meets"/>
    <n v="3.4"/>
    <n v="4"/>
    <n v="0"/>
    <x v="28"/>
    <n v="0"/>
    <n v="14"/>
  </r>
  <r>
    <x v="306"/>
    <x v="306"/>
    <n v="65893"/>
    <s v="Production Technician II"/>
    <s v="MA"/>
    <n v="1810"/>
    <d v="1985-05-11T00:00:00"/>
    <x v="0"/>
    <s v="Single"/>
    <x v="0"/>
    <x v="306"/>
    <n v="26"/>
    <m/>
    <s v=""/>
    <s v="N/A-StillEmployed"/>
    <s v="Active"/>
    <x v="0"/>
    <x v="2"/>
    <x v="0"/>
    <s v="Fully Meets"/>
    <n v="4.07"/>
    <n v="4"/>
    <n v="0"/>
    <x v="37"/>
    <n v="0"/>
    <n v="13"/>
  </r>
  <r>
    <x v="307"/>
    <x v="307"/>
    <n v="48513"/>
    <s v="Production Technician I"/>
    <s v="MA"/>
    <n v="2458"/>
    <d v="1982-05-04T00:00:00"/>
    <x v="1"/>
    <s v="Single"/>
    <x v="3"/>
    <x v="307"/>
    <n v="30"/>
    <d v="2015-09-29T00:00:00"/>
    <n v="3"/>
    <s v="Another position"/>
    <s v="Voluntarily Terminated"/>
    <x v="0"/>
    <x v="8"/>
    <x v="2"/>
    <s v="PIP"/>
    <n v="3.2"/>
    <n v="2"/>
    <n v="0"/>
    <x v="136"/>
    <n v="5"/>
    <n v="4"/>
  </r>
  <r>
    <x v="308"/>
    <x v="308"/>
    <n v="220450"/>
    <s v="CIO"/>
    <s v="MA"/>
    <n v="2067"/>
    <d v="1979-08-30T00:00:00"/>
    <x v="1"/>
    <s v="Single"/>
    <x v="0"/>
    <x v="308"/>
    <n v="32"/>
    <m/>
    <s v=""/>
    <s v="N/A-StillEmployed"/>
    <s v="Active"/>
    <x v="1"/>
    <x v="13"/>
    <x v="3"/>
    <s v="Exceeds"/>
    <n v="4.5999999999999996"/>
    <n v="5"/>
    <n v="6"/>
    <x v="28"/>
    <n v="0"/>
    <n v="16"/>
  </r>
  <r>
    <x v="309"/>
    <x v="309"/>
    <n v="89292"/>
    <s v="Data Analyst"/>
    <s v="MA"/>
    <n v="2148"/>
    <d v="1979-02-24T00:00:00"/>
    <x v="1"/>
    <s v="Single"/>
    <x v="0"/>
    <x v="309"/>
    <n v="33"/>
    <m/>
    <s v=""/>
    <s v="N/A-StillEmployed"/>
    <s v="Active"/>
    <x v="1"/>
    <x v="1"/>
    <x v="3"/>
    <s v="Fully Meets"/>
    <n v="5"/>
    <n v="3"/>
    <n v="5"/>
    <x v="25"/>
    <n v="0"/>
    <n v="11"/>
  </r>
  <r>
    <x v="310"/>
    <x v="310"/>
    <n v="45046"/>
    <s v="Production Technician I"/>
    <s v="MA"/>
    <n v="1730"/>
    <d v="1978-08-17T00:00:00"/>
    <x v="1"/>
    <s v="Widowed"/>
    <x v="3"/>
    <x v="310"/>
    <n v="33"/>
    <m/>
    <s v=""/>
    <s v="N/A-StillEmployed"/>
    <s v="Active"/>
    <x v="0"/>
    <x v="10"/>
    <x v="0"/>
    <s v="Fully Meets"/>
    <n v="4.5"/>
    <n v="5"/>
    <n v="0"/>
    <x v="30"/>
    <s v="                        "/>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x v="0"/>
    <x v="0"/>
    <s v="Production Technician I"/>
    <s v="MA"/>
    <n v="1960"/>
    <d v="1983-07-10T00:00:00"/>
    <x v="0"/>
    <s v="Single"/>
    <x v="0"/>
    <x v="0"/>
    <n v="27"/>
    <m/>
    <x v="0"/>
    <s v="N/A-StillEmployed"/>
    <x v="0"/>
    <x v="0"/>
    <x v="0"/>
    <x v="0"/>
    <x v="0"/>
    <n v="4.5999999999999996"/>
    <n v="5"/>
    <n v="0"/>
    <x v="0"/>
    <n v="0"/>
    <n v="1"/>
  </r>
  <r>
    <x v="1"/>
    <x v="1"/>
    <x v="1"/>
    <s v="Sr. DBA"/>
    <s v="MA"/>
    <n v="2148"/>
    <d v="1975-05-05T00:00:00"/>
    <x v="0"/>
    <s v="Married"/>
    <x v="0"/>
    <x v="1"/>
    <n v="36"/>
    <d v="2016-06-16T00:00:00"/>
    <x v="1"/>
    <s v="career change"/>
    <x v="1"/>
    <x v="1"/>
    <x v="1"/>
    <x v="1"/>
    <x v="1"/>
    <n v="4.96"/>
    <n v="3"/>
    <n v="6"/>
    <x v="1"/>
    <n v="0"/>
    <s v="             "/>
  </r>
  <r>
    <x v="2"/>
    <x v="2"/>
    <x v="2"/>
    <s v="Production Technician II"/>
    <s v="MA"/>
    <n v="1810"/>
    <d v="1988-09-19T00:00:00"/>
    <x v="1"/>
    <s v="Married"/>
    <x v="0"/>
    <x v="2"/>
    <n v="22"/>
    <d v="2012-09-24T00:00:00"/>
    <x v="2"/>
    <s v="hours"/>
    <x v="1"/>
    <x v="0"/>
    <x v="2"/>
    <x v="0"/>
    <x v="1"/>
    <n v="3.02"/>
    <n v="3"/>
    <n v="0"/>
    <x v="2"/>
    <n v="0"/>
    <n v="3"/>
  </r>
  <r>
    <x v="3"/>
    <x v="3"/>
    <x v="3"/>
    <s v="Production Technician I"/>
    <s v="MA"/>
    <n v="1886"/>
    <d v="1988-09-28T00:00:00"/>
    <x v="1"/>
    <s v="Married"/>
    <x v="0"/>
    <x v="3"/>
    <n v="22"/>
    <m/>
    <x v="0"/>
    <s v="N/A-StillEmployed"/>
    <x v="0"/>
    <x v="0"/>
    <x v="3"/>
    <x v="1"/>
    <x v="1"/>
    <n v="4.84"/>
    <n v="5"/>
    <n v="0"/>
    <x v="3"/>
    <n v="0"/>
    <n v="15"/>
  </r>
  <r>
    <x v="4"/>
    <x v="4"/>
    <x v="4"/>
    <s v="Production Technician I"/>
    <s v="MA"/>
    <n v="2169"/>
    <d v="1989-09-08T00:00:00"/>
    <x v="1"/>
    <s v="Divorced"/>
    <x v="0"/>
    <x v="4"/>
    <n v="21"/>
    <d v="2016-09-06T00:00:00"/>
    <x v="3"/>
    <s v="return to school"/>
    <x v="1"/>
    <x v="0"/>
    <x v="4"/>
    <x v="2"/>
    <x v="1"/>
    <n v="5"/>
    <n v="4"/>
    <n v="0"/>
    <x v="4"/>
    <n v="0"/>
    <n v="2"/>
  </r>
  <r>
    <x v="5"/>
    <x v="5"/>
    <x v="5"/>
    <s v="Production Technician I"/>
    <s v="MA"/>
    <n v="1844"/>
    <d v="1977-05-22T00:00:00"/>
    <x v="1"/>
    <s v="Single"/>
    <x v="0"/>
    <x v="5"/>
    <n v="34"/>
    <m/>
    <x v="0"/>
    <s v="N/A-StillEmployed"/>
    <x v="0"/>
    <x v="0"/>
    <x v="5"/>
    <x v="0"/>
    <x v="0"/>
    <n v="5"/>
    <n v="5"/>
    <n v="0"/>
    <x v="5"/>
    <n v="0"/>
    <n v="15"/>
  </r>
  <r>
    <x v="6"/>
    <x v="6"/>
    <x v="6"/>
    <s v="Software Engineer"/>
    <s v="MA"/>
    <n v="2110"/>
    <d v="1979-05-24T00:00:00"/>
    <x v="1"/>
    <s v="Single"/>
    <x v="0"/>
    <x v="6"/>
    <n v="32"/>
    <m/>
    <x v="0"/>
    <s v="N/A-StillEmployed"/>
    <x v="0"/>
    <x v="2"/>
    <x v="6"/>
    <x v="0"/>
    <x v="1"/>
    <n v="3.04"/>
    <n v="3"/>
    <n v="4"/>
    <x v="6"/>
    <n v="0"/>
    <n v="19"/>
  </r>
  <r>
    <x v="7"/>
    <x v="7"/>
    <x v="7"/>
    <s v="Production Technician I"/>
    <s v="MA"/>
    <n v="2199"/>
    <d v="1983-02-18T00:00:00"/>
    <x v="0"/>
    <s v="Widowed"/>
    <x v="0"/>
    <x v="7"/>
    <n v="28"/>
    <m/>
    <x v="0"/>
    <s v="N/A-StillEmployed"/>
    <x v="0"/>
    <x v="0"/>
    <x v="7"/>
    <x v="3"/>
    <x v="1"/>
    <n v="5"/>
    <n v="4"/>
    <n v="0"/>
    <x v="7"/>
    <n v="0"/>
    <n v="19"/>
  </r>
  <r>
    <x v="8"/>
    <x v="8"/>
    <x v="8"/>
    <s v="Production Technician I"/>
    <s v="MA"/>
    <n v="1902"/>
    <d v="1970-02-11T00:00:00"/>
    <x v="1"/>
    <s v="Single"/>
    <x v="1"/>
    <x v="8"/>
    <n v="41"/>
    <m/>
    <x v="0"/>
    <s v="N/A-StillEmployed"/>
    <x v="0"/>
    <x v="0"/>
    <x v="8"/>
    <x v="4"/>
    <x v="1"/>
    <n v="4.46"/>
    <n v="3"/>
    <n v="0"/>
    <x v="8"/>
    <n v="0"/>
    <n v="4"/>
  </r>
  <r>
    <x v="9"/>
    <x v="9"/>
    <x v="9"/>
    <s v="IT Support"/>
    <s v="MA"/>
    <n v="1886"/>
    <d v="1988-01-07T00:00:00"/>
    <x v="0"/>
    <s v="Divorced"/>
    <x v="0"/>
    <x v="9"/>
    <n v="23"/>
    <m/>
    <x v="0"/>
    <s v="N/A-StillEmployed"/>
    <x v="0"/>
    <x v="1"/>
    <x v="9"/>
    <x v="1"/>
    <x v="1"/>
    <n v="5"/>
    <n v="5"/>
    <n v="6"/>
    <x v="9"/>
    <n v="0"/>
    <n v="16"/>
  </r>
  <r>
    <x v="10"/>
    <x v="10"/>
    <x v="10"/>
    <s v="Production Technician I"/>
    <s v="MA"/>
    <n v="1902"/>
    <d v="1974-01-12T00:00:00"/>
    <x v="1"/>
    <s v="Married"/>
    <x v="1"/>
    <x v="10"/>
    <n v="37"/>
    <d v="2017-01-12T00:00:00"/>
    <x v="3"/>
    <s v="Another position"/>
    <x v="1"/>
    <x v="0"/>
    <x v="10"/>
    <x v="4"/>
    <x v="1"/>
    <n v="4.2"/>
    <n v="4"/>
    <n v="0"/>
    <x v="10"/>
    <n v="0"/>
    <n v="12"/>
  </r>
  <r>
    <x v="11"/>
    <x v="11"/>
    <x v="11"/>
    <s v="Production Technician I"/>
    <s v="MA"/>
    <n v="2062"/>
    <d v="1974-02-21T00:00:00"/>
    <x v="0"/>
    <s v="Married"/>
    <x v="1"/>
    <x v="11"/>
    <n v="37"/>
    <d v="2016-09-19T00:00:00"/>
    <x v="3"/>
    <s v="unhappy"/>
    <x v="1"/>
    <x v="0"/>
    <x v="2"/>
    <x v="4"/>
    <x v="1"/>
    <n v="4.2"/>
    <n v="3"/>
    <n v="0"/>
    <x v="11"/>
    <n v="0"/>
    <n v="15"/>
  </r>
  <r>
    <x v="12"/>
    <x v="12"/>
    <x v="12"/>
    <s v="Data Analyst"/>
    <s v="TX"/>
    <n v="78230"/>
    <d v="1988-07-04T00:00:00"/>
    <x v="0"/>
    <s v="Divorced"/>
    <x v="1"/>
    <x v="12"/>
    <n v="23"/>
    <m/>
    <x v="0"/>
    <s v="N/A-StillEmployed"/>
    <x v="0"/>
    <x v="1"/>
    <x v="1"/>
    <x v="4"/>
    <x v="0"/>
    <n v="4.28"/>
    <n v="4"/>
    <n v="5"/>
    <x v="7"/>
    <n v="0"/>
    <n v="9"/>
  </r>
  <r>
    <x v="13"/>
    <x v="13"/>
    <x v="13"/>
    <s v="Production Technician I"/>
    <s v="MA"/>
    <n v="1810"/>
    <d v="1983-07-20T00:00:00"/>
    <x v="0"/>
    <s v="Single"/>
    <x v="2"/>
    <x v="13"/>
    <n v="27"/>
    <m/>
    <x v="0"/>
    <s v="N/A-StillEmployed"/>
    <x v="0"/>
    <x v="0"/>
    <x v="11"/>
    <x v="2"/>
    <x v="1"/>
    <n v="4.5999999999999996"/>
    <n v="4"/>
    <n v="0"/>
    <x v="12"/>
    <n v="0"/>
    <n v="7"/>
  </r>
  <r>
    <x v="14"/>
    <x v="14"/>
    <x v="14"/>
    <s v="Production Technician I"/>
    <s v="MA"/>
    <n v="2747"/>
    <d v="1977-07-15T00:00:00"/>
    <x v="0"/>
    <s v="Divorced"/>
    <x v="0"/>
    <x v="14"/>
    <n v="34"/>
    <d v="2017-04-06T00:00:00"/>
    <x v="3"/>
    <s v="Another position"/>
    <x v="1"/>
    <x v="0"/>
    <x v="0"/>
    <x v="5"/>
    <x v="1"/>
    <n v="5"/>
    <n v="5"/>
    <n v="0"/>
    <x v="13"/>
    <n v="0"/>
    <n v="1"/>
  </r>
  <r>
    <x v="15"/>
    <x v="15"/>
    <x v="15"/>
    <s v="Production Technician I"/>
    <s v="MA"/>
    <n v="2050"/>
    <d v="1981-10-18T00:00:00"/>
    <x v="0"/>
    <s v="Single"/>
    <x v="0"/>
    <x v="15"/>
    <n v="29"/>
    <d v="2017-08-04T00:00:00"/>
    <x v="4"/>
    <s v="attendance"/>
    <x v="2"/>
    <x v="0"/>
    <x v="11"/>
    <x v="2"/>
    <x v="1"/>
    <n v="5"/>
    <n v="4"/>
    <n v="0"/>
    <x v="14"/>
    <n v="0"/>
    <n v="20"/>
  </r>
  <r>
    <x v="16"/>
    <x v="16"/>
    <x v="16"/>
    <s v="Production Technician II"/>
    <s v="MA"/>
    <n v="2145"/>
    <d v="1966-04-17T00:00:00"/>
    <x v="1"/>
    <s v="Married"/>
    <x v="0"/>
    <x v="16"/>
    <n v="45"/>
    <m/>
    <x v="0"/>
    <s v="N/A-StillEmployed"/>
    <x v="0"/>
    <x v="0"/>
    <x v="11"/>
    <x v="3"/>
    <x v="0"/>
    <n v="4.4000000000000004"/>
    <n v="3"/>
    <n v="0"/>
    <x v="15"/>
    <n v="0"/>
    <n v="16"/>
  </r>
  <r>
    <x v="17"/>
    <x v="17"/>
    <x v="17"/>
    <s v="Production Technician I"/>
    <s v="MA"/>
    <n v="1915"/>
    <d v="1970-10-27T00:00:00"/>
    <x v="1"/>
    <s v="Single"/>
    <x v="0"/>
    <x v="17"/>
    <n v="40"/>
    <m/>
    <x v="0"/>
    <s v="N/A-StillEmployed"/>
    <x v="0"/>
    <x v="0"/>
    <x v="3"/>
    <x v="2"/>
    <x v="1"/>
    <n v="5"/>
    <n v="5"/>
    <n v="0"/>
    <x v="15"/>
    <n v="0"/>
    <n v="12"/>
  </r>
  <r>
    <x v="18"/>
    <x v="18"/>
    <x v="18"/>
    <s v="Database Administrator"/>
    <s v="MA"/>
    <n v="2026"/>
    <d v="1986-04-04T00:00:00"/>
    <x v="1"/>
    <s v="Single"/>
    <x v="0"/>
    <x v="18"/>
    <n v="25"/>
    <d v="2015-09-12T00:00:00"/>
    <x v="1"/>
    <s v="performance"/>
    <x v="2"/>
    <x v="1"/>
    <x v="1"/>
    <x v="2"/>
    <x v="1"/>
    <n v="4.5"/>
    <n v="4"/>
    <n v="5"/>
    <x v="16"/>
    <n v="0"/>
    <n v="8"/>
  </r>
  <r>
    <x v="19"/>
    <x v="19"/>
    <x v="19"/>
    <s v="Production Technician I"/>
    <s v="MA"/>
    <n v="2452"/>
    <d v="1979-04-06T00:00:00"/>
    <x v="0"/>
    <s v="Single"/>
    <x v="3"/>
    <x v="19"/>
    <n v="32"/>
    <m/>
    <x v="0"/>
    <s v="N/A-StillEmployed"/>
    <x v="0"/>
    <x v="0"/>
    <x v="4"/>
    <x v="0"/>
    <x v="1"/>
    <n v="4.2"/>
    <n v="4"/>
    <n v="0"/>
    <x v="17"/>
    <n v="0"/>
    <n v="13"/>
  </r>
  <r>
    <x v="20"/>
    <x v="20"/>
    <x v="20"/>
    <s v="Production Technician I"/>
    <s v="MA"/>
    <n v="2072"/>
    <d v="1970-12-22T00:00:00"/>
    <x v="0"/>
    <s v="Single"/>
    <x v="0"/>
    <x v="20"/>
    <n v="40"/>
    <m/>
    <x v="0"/>
    <s v="N/A-StillEmployed"/>
    <x v="0"/>
    <x v="0"/>
    <x v="5"/>
    <x v="2"/>
    <x v="1"/>
    <n v="5"/>
    <n v="3"/>
    <n v="0"/>
    <x v="15"/>
    <n v="0"/>
    <n v="13"/>
  </r>
  <r>
    <x v="21"/>
    <x v="21"/>
    <x v="21"/>
    <s v="Production Technician I"/>
    <s v="MA"/>
    <n v="2027"/>
    <d v="1958-12-27T00:00:00"/>
    <x v="1"/>
    <s v="Divorced"/>
    <x v="3"/>
    <x v="21"/>
    <n v="52"/>
    <m/>
    <x v="0"/>
    <s v="N/A-StillEmployed"/>
    <x v="0"/>
    <x v="0"/>
    <x v="7"/>
    <x v="1"/>
    <x v="1"/>
    <n v="4.2"/>
    <n v="3"/>
    <n v="0"/>
    <x v="18"/>
    <n v="0"/>
    <n v="2"/>
  </r>
  <r>
    <x v="22"/>
    <x v="22"/>
    <x v="22"/>
    <s v="Production Technician I"/>
    <s v="MA"/>
    <n v="2031"/>
    <d v="1989-09-01T00:00:00"/>
    <x v="1"/>
    <s v="Married"/>
    <x v="0"/>
    <x v="22"/>
    <n v="21"/>
    <m/>
    <x v="0"/>
    <s v="N/A-StillEmployed"/>
    <x v="0"/>
    <x v="0"/>
    <x v="8"/>
    <x v="1"/>
    <x v="0"/>
    <n v="5"/>
    <n v="3"/>
    <n v="0"/>
    <x v="19"/>
    <n v="0"/>
    <n v="19"/>
  </r>
  <r>
    <x v="23"/>
    <x v="23"/>
    <x v="23"/>
    <s v="Production Technician II"/>
    <s v="MA"/>
    <n v="2171"/>
    <d v="1990-09-21T00:00:00"/>
    <x v="1"/>
    <s v="Single"/>
    <x v="0"/>
    <x v="23"/>
    <n v="20"/>
    <m/>
    <x v="0"/>
    <s v="N/A-StillEmployed"/>
    <x v="0"/>
    <x v="0"/>
    <x v="0"/>
    <x v="6"/>
    <x v="2"/>
    <n v="2"/>
    <n v="3"/>
    <n v="0"/>
    <x v="19"/>
    <n v="2"/>
    <n v="3"/>
  </r>
  <r>
    <x v="24"/>
    <x v="24"/>
    <x v="24"/>
    <s v="Production Technician II"/>
    <s v="MA"/>
    <n v="2210"/>
    <d v="1967-01-16T00:00:00"/>
    <x v="1"/>
    <s v="Single"/>
    <x v="0"/>
    <x v="24"/>
    <n v="44"/>
    <d v="2014-04-04T00:00:00"/>
    <x v="5"/>
    <s v="career change"/>
    <x v="1"/>
    <x v="0"/>
    <x v="3"/>
    <x v="2"/>
    <x v="1"/>
    <n v="4.8"/>
    <n v="5"/>
    <n v="0"/>
    <x v="20"/>
    <n v="0"/>
    <n v="5"/>
  </r>
  <r>
    <x v="25"/>
    <x v="25"/>
    <x v="25"/>
    <s v="Enterprise Architect"/>
    <s v="CT"/>
    <n v="6033"/>
    <d v="1964-07-30T00:00:00"/>
    <x v="0"/>
    <s v="Single"/>
    <x v="1"/>
    <x v="25"/>
    <n v="47"/>
    <d v="2016-02-19T00:00:00"/>
    <x v="1"/>
    <s v="Learned that he is a gangster"/>
    <x v="2"/>
    <x v="1"/>
    <x v="1"/>
    <x v="0"/>
    <x v="1"/>
    <n v="3.5"/>
    <n v="5"/>
    <n v="7"/>
    <x v="21"/>
    <n v="0"/>
    <n v="2"/>
  </r>
  <r>
    <x v="26"/>
    <x v="26"/>
    <x v="26"/>
    <s v="Sr. Accountant"/>
    <s v="MA"/>
    <n v="2468"/>
    <d v="1987-04-04T00:00:00"/>
    <x v="1"/>
    <s v="Married"/>
    <x v="1"/>
    <x v="26"/>
    <n v="24"/>
    <m/>
    <x v="0"/>
    <s v="N/A-StillEmployed"/>
    <x v="0"/>
    <x v="3"/>
    <x v="12"/>
    <x v="4"/>
    <x v="1"/>
    <n v="5"/>
    <n v="4"/>
    <n v="3"/>
    <x v="9"/>
    <n v="0"/>
    <n v="4"/>
  </r>
  <r>
    <x v="27"/>
    <x v="27"/>
    <x v="27"/>
    <s v="Production Manager"/>
    <s v="MA"/>
    <n v="1901"/>
    <d v="1970-03-10T00:00:00"/>
    <x v="0"/>
    <s v="Single"/>
    <x v="3"/>
    <x v="27"/>
    <n v="41"/>
    <d v="2014-08-07T00:00:00"/>
    <x v="6"/>
    <s v="retiring"/>
    <x v="1"/>
    <x v="0"/>
    <x v="13"/>
    <x v="1"/>
    <x v="1"/>
    <n v="3.39"/>
    <n v="3"/>
    <n v="0"/>
    <x v="22"/>
    <n v="0"/>
    <n v="14"/>
  </r>
  <r>
    <x v="28"/>
    <x v="28"/>
    <x v="28"/>
    <s v="Production Technician I"/>
    <s v="MA"/>
    <n v="1701"/>
    <d v="1990-08-24T00:00:00"/>
    <x v="1"/>
    <s v="Married"/>
    <x v="0"/>
    <x v="28"/>
    <n v="20"/>
    <d v="2013-06-15T00:00:00"/>
    <x v="2"/>
    <s v="Another position"/>
    <x v="1"/>
    <x v="0"/>
    <x v="10"/>
    <x v="2"/>
    <x v="1"/>
    <n v="3.35"/>
    <n v="4"/>
    <n v="0"/>
    <x v="23"/>
    <n v="0"/>
    <n v="6"/>
  </r>
  <r>
    <x v="29"/>
    <x v="29"/>
    <x v="29"/>
    <s v="Accountant I"/>
    <s v="MA"/>
    <n v="1450"/>
    <d v="1987-11-24T00:00:00"/>
    <x v="1"/>
    <s v="Married"/>
    <x v="1"/>
    <x v="29"/>
    <n v="23"/>
    <m/>
    <x v="0"/>
    <s v="N/A-StillEmployed"/>
    <x v="0"/>
    <x v="3"/>
    <x v="12"/>
    <x v="4"/>
    <x v="1"/>
    <n v="4.5"/>
    <n v="2"/>
    <n v="6"/>
    <x v="24"/>
    <n v="0"/>
    <n v="14"/>
  </r>
  <r>
    <x v="30"/>
    <x v="30"/>
    <x v="30"/>
    <s v="Production Technician II"/>
    <s v="MA"/>
    <n v="1013"/>
    <d v="1983-07-28T00:00:00"/>
    <x v="0"/>
    <s v="Single"/>
    <x v="0"/>
    <x v="30"/>
    <n v="28"/>
    <m/>
    <x v="0"/>
    <s v="N/A-StillEmployed"/>
    <x v="0"/>
    <x v="0"/>
    <x v="4"/>
    <x v="2"/>
    <x v="1"/>
    <n v="3.19"/>
    <n v="3"/>
    <n v="0"/>
    <x v="25"/>
    <n v="0"/>
    <n v="9"/>
  </r>
  <r>
    <x v="31"/>
    <x v="31"/>
    <x v="31"/>
    <s v="Production Technician I"/>
    <s v="MA"/>
    <n v="2043"/>
    <d v="1969-10-30T00:00:00"/>
    <x v="1"/>
    <s v="Separated"/>
    <x v="1"/>
    <x v="31"/>
    <n v="41"/>
    <m/>
    <x v="0"/>
    <s v="N/A-StillEmployed"/>
    <x v="0"/>
    <x v="0"/>
    <x v="2"/>
    <x v="4"/>
    <x v="1"/>
    <n v="3.5"/>
    <n v="5"/>
    <n v="0"/>
    <x v="26"/>
    <n v="0"/>
    <n v="17"/>
  </r>
  <r>
    <x v="32"/>
    <x v="32"/>
    <x v="32"/>
    <s v="Area Sales Manager"/>
    <s v="VA"/>
    <n v="21851"/>
    <d v="1964-06-01T00:00:00"/>
    <x v="1"/>
    <s v="Married"/>
    <x v="1"/>
    <x v="32"/>
    <n v="47"/>
    <d v="2014-08-02T00:00:00"/>
    <x v="5"/>
    <s v="Another position"/>
    <x v="1"/>
    <x v="4"/>
    <x v="14"/>
    <x v="2"/>
    <x v="1"/>
    <n v="3.14"/>
    <n v="5"/>
    <n v="0"/>
    <x v="27"/>
    <n v="1"/>
    <n v="19"/>
  </r>
  <r>
    <x v="33"/>
    <x v="33"/>
    <x v="33"/>
    <s v="Production Technician II"/>
    <s v="MA"/>
    <n v="2148"/>
    <d v="1980-03-02T00:00:00"/>
    <x v="1"/>
    <s v="Single"/>
    <x v="1"/>
    <x v="33"/>
    <n v="31"/>
    <m/>
    <x v="0"/>
    <s v="N/A-StillEmployed"/>
    <x v="0"/>
    <x v="0"/>
    <x v="5"/>
    <x v="3"/>
    <x v="1"/>
    <n v="4.51"/>
    <n v="4"/>
    <n v="0"/>
    <x v="28"/>
    <n v="0"/>
    <n v="3"/>
  </r>
  <r>
    <x v="34"/>
    <x v="34"/>
    <x v="34"/>
    <s v="Production Technician II"/>
    <s v="MA"/>
    <n v="1890"/>
    <d v="1977-08-19T00:00:00"/>
    <x v="0"/>
    <s v="Married"/>
    <x v="0"/>
    <x v="34"/>
    <n v="33"/>
    <m/>
    <x v="0"/>
    <s v="N/A-StillEmployed"/>
    <x v="0"/>
    <x v="0"/>
    <x v="7"/>
    <x v="1"/>
    <x v="1"/>
    <n v="3.25"/>
    <n v="5"/>
    <n v="0"/>
    <x v="15"/>
    <n v="0"/>
    <n v="15"/>
  </r>
  <r>
    <x v="35"/>
    <x v="35"/>
    <x v="35"/>
    <s v="Software Engineering Manager"/>
    <s v="MA"/>
    <n v="2184"/>
    <d v="1966-11-22T00:00:00"/>
    <x v="0"/>
    <s v="Single"/>
    <x v="0"/>
    <x v="35"/>
    <n v="44"/>
    <m/>
    <x v="0"/>
    <s v="N/A-StillEmployed"/>
    <x v="0"/>
    <x v="2"/>
    <x v="15"/>
    <x v="2"/>
    <x v="1"/>
    <n v="3.84"/>
    <n v="3"/>
    <n v="5"/>
    <x v="26"/>
    <n v="0"/>
    <n v="4"/>
  </r>
  <r>
    <x v="36"/>
    <x v="36"/>
    <x v="36"/>
    <s v="Production Manager"/>
    <s v="MA"/>
    <n v="2169"/>
    <d v="1983-08-09T00:00:00"/>
    <x v="0"/>
    <s v="Single"/>
    <x v="0"/>
    <x v="36"/>
    <n v="28"/>
    <m/>
    <x v="0"/>
    <s v="N/A-StillEmployed"/>
    <x v="0"/>
    <x v="0"/>
    <x v="13"/>
    <x v="1"/>
    <x v="0"/>
    <n v="5"/>
    <n v="3"/>
    <n v="0"/>
    <x v="29"/>
    <n v="0"/>
    <n v="14"/>
  </r>
  <r>
    <x v="37"/>
    <x v="37"/>
    <x v="37"/>
    <s v="Software Engineer"/>
    <s v="MA"/>
    <n v="2132"/>
    <d v="1987-04-05T00:00:00"/>
    <x v="1"/>
    <s v="Single"/>
    <x v="0"/>
    <x v="37"/>
    <n v="24"/>
    <m/>
    <x v="0"/>
    <s v="N/A-StillEmployed"/>
    <x v="0"/>
    <x v="2"/>
    <x v="6"/>
    <x v="1"/>
    <x v="1"/>
    <n v="4.96"/>
    <n v="4"/>
    <n v="6"/>
    <x v="30"/>
    <n v="0"/>
    <n v="3"/>
  </r>
  <r>
    <x v="38"/>
    <x v="38"/>
    <x v="38"/>
    <s v="Production Technician I"/>
    <s v="MA"/>
    <n v="1701"/>
    <d v="1983-02-02T00:00:00"/>
    <x v="0"/>
    <s v="Single"/>
    <x v="1"/>
    <x v="38"/>
    <n v="28"/>
    <m/>
    <x v="0"/>
    <s v="N/A-StillEmployed"/>
    <x v="0"/>
    <x v="0"/>
    <x v="11"/>
    <x v="0"/>
    <x v="1"/>
    <n v="4.43"/>
    <n v="3"/>
    <n v="0"/>
    <x v="25"/>
    <n v="0"/>
    <n v="14"/>
  </r>
  <r>
    <x v="39"/>
    <x v="39"/>
    <x v="39"/>
    <s v="Sr. DBA"/>
    <s v="MA"/>
    <n v="1886"/>
    <d v="1986-06-06T00:00:00"/>
    <x v="1"/>
    <s v="Single"/>
    <x v="1"/>
    <x v="39"/>
    <n v="25"/>
    <m/>
    <x v="0"/>
    <s v="N/A-StillEmployed"/>
    <x v="0"/>
    <x v="1"/>
    <x v="1"/>
    <x v="0"/>
    <x v="1"/>
    <n v="5"/>
    <n v="5"/>
    <n v="6"/>
    <x v="9"/>
    <n v="0"/>
    <n v="7"/>
  </r>
  <r>
    <x v="40"/>
    <x v="40"/>
    <x v="40"/>
    <s v="Area Sales Manager"/>
    <s v="VT"/>
    <n v="5664"/>
    <d v="1963-05-15T00:00:00"/>
    <x v="1"/>
    <s v="Single"/>
    <x v="0"/>
    <x v="40"/>
    <n v="48"/>
    <m/>
    <x v="0"/>
    <s v="N/A-StillEmployed"/>
    <x v="0"/>
    <x v="4"/>
    <x v="14"/>
    <x v="1"/>
    <x v="1"/>
    <n v="5"/>
    <n v="5"/>
    <n v="0"/>
    <x v="26"/>
    <n v="0"/>
    <n v="7"/>
  </r>
  <r>
    <x v="41"/>
    <x v="41"/>
    <x v="41"/>
    <s v="Production Technician I"/>
    <s v="MA"/>
    <n v="2763"/>
    <d v="1951-01-02T00:00:00"/>
    <x v="1"/>
    <s v="Single"/>
    <x v="0"/>
    <x v="41"/>
    <n v="60"/>
    <m/>
    <x v="0"/>
    <s v="N/A-StillEmployed"/>
    <x v="0"/>
    <x v="0"/>
    <x v="0"/>
    <x v="2"/>
    <x v="1"/>
    <n v="5"/>
    <n v="4"/>
    <n v="0"/>
    <x v="31"/>
    <n v="0"/>
    <n v="11"/>
  </r>
  <r>
    <x v="42"/>
    <x v="42"/>
    <x v="42"/>
    <s v="BI Director"/>
    <s v="MA"/>
    <n v="2045"/>
    <d v="1972-02-09T00:00:00"/>
    <x v="0"/>
    <s v="Married"/>
    <x v="0"/>
    <x v="42"/>
    <n v="39"/>
    <m/>
    <x v="0"/>
    <s v="N/A-StillEmployed"/>
    <x v="0"/>
    <x v="1"/>
    <x v="15"/>
    <x v="1"/>
    <x v="1"/>
    <n v="4.5"/>
    <n v="5"/>
    <n v="7"/>
    <x v="24"/>
    <n v="0"/>
    <n v="8"/>
  </r>
  <r>
    <x v="43"/>
    <x v="43"/>
    <x v="43"/>
    <s v="Production Technician I"/>
    <s v="MA"/>
    <n v="2170"/>
    <d v="1979-02-12T00:00:00"/>
    <x v="1"/>
    <s v="Single"/>
    <x v="0"/>
    <x v="43"/>
    <n v="32"/>
    <m/>
    <x v="0"/>
    <s v="N/A-StillEmployed"/>
    <x v="0"/>
    <x v="0"/>
    <x v="3"/>
    <x v="1"/>
    <x v="1"/>
    <n v="3.3"/>
    <n v="4"/>
    <n v="0"/>
    <x v="32"/>
    <n v="0"/>
    <n v="11"/>
  </r>
  <r>
    <x v="44"/>
    <x v="44"/>
    <x v="44"/>
    <s v="Production Technician I"/>
    <s v="MA"/>
    <n v="1845"/>
    <d v="1983-08-24T00:00:00"/>
    <x v="0"/>
    <s v="Single"/>
    <x v="0"/>
    <x v="44"/>
    <n v="27"/>
    <m/>
    <x v="0"/>
    <s v="N/A-StillEmployed"/>
    <x v="0"/>
    <x v="0"/>
    <x v="4"/>
    <x v="0"/>
    <x v="1"/>
    <n v="3.8"/>
    <n v="5"/>
    <n v="0"/>
    <x v="15"/>
    <n v="0"/>
    <n v="4"/>
  </r>
  <r>
    <x v="45"/>
    <x v="45"/>
    <x v="45"/>
    <s v="Area Sales Manager"/>
    <s v="TX"/>
    <n v="78207"/>
    <d v="1970-06-11T00:00:00"/>
    <x v="0"/>
    <s v="Single"/>
    <x v="1"/>
    <x v="45"/>
    <n v="41"/>
    <m/>
    <x v="0"/>
    <s v="N/A-StillEmployed"/>
    <x v="0"/>
    <x v="4"/>
    <x v="16"/>
    <x v="3"/>
    <x v="1"/>
    <n v="3"/>
    <n v="5"/>
    <n v="0"/>
    <x v="33"/>
    <n v="0"/>
    <n v="17"/>
  </r>
  <r>
    <x v="46"/>
    <x v="46"/>
    <x v="46"/>
    <s v="Production Technician I"/>
    <s v="MA"/>
    <n v="1775"/>
    <d v="1983-08-27T00:00:00"/>
    <x v="1"/>
    <s v="Single"/>
    <x v="0"/>
    <x v="46"/>
    <n v="27"/>
    <d v="2015-11-15T00:00:00"/>
    <x v="1"/>
    <s v="relocation out of area"/>
    <x v="1"/>
    <x v="0"/>
    <x v="5"/>
    <x v="1"/>
    <x v="1"/>
    <n v="4.3"/>
    <n v="4"/>
    <n v="0"/>
    <x v="34"/>
    <n v="0"/>
    <n v="3"/>
  </r>
  <r>
    <x v="47"/>
    <x v="47"/>
    <x v="47"/>
    <s v="Production Technician I"/>
    <s v="MA"/>
    <n v="2044"/>
    <d v="1988-05-31T00:00:00"/>
    <x v="1"/>
    <s v="Single"/>
    <x v="1"/>
    <x v="47"/>
    <n v="23"/>
    <m/>
    <x v="0"/>
    <s v="N/A-StillEmployed"/>
    <x v="0"/>
    <x v="0"/>
    <x v="7"/>
    <x v="1"/>
    <x v="1"/>
    <n v="3.58"/>
    <n v="5"/>
    <n v="0"/>
    <x v="30"/>
    <n v="0"/>
    <n v="3"/>
  </r>
  <r>
    <x v="48"/>
    <x v="48"/>
    <x v="48"/>
    <s v="IT Support"/>
    <s v="MA"/>
    <n v="2170"/>
    <d v="1985-09-05T00:00:00"/>
    <x v="0"/>
    <s v="Single"/>
    <x v="0"/>
    <x v="48"/>
    <n v="25"/>
    <m/>
    <x v="0"/>
    <s v="N/A-StillEmployed"/>
    <x v="0"/>
    <x v="1"/>
    <x v="17"/>
    <x v="1"/>
    <x v="1"/>
    <n v="4.7"/>
    <n v="3"/>
    <n v="6"/>
    <x v="19"/>
    <n v="0"/>
    <n v="2"/>
  </r>
  <r>
    <x v="49"/>
    <x v="49"/>
    <x v="49"/>
    <s v="Production Technician II"/>
    <s v="MA"/>
    <n v="1752"/>
    <d v="1981-08-31T00:00:00"/>
    <x v="1"/>
    <s v="Married"/>
    <x v="0"/>
    <x v="49"/>
    <n v="29"/>
    <d v="2013-01-07T00:00:00"/>
    <x v="2"/>
    <s v="unhappy"/>
    <x v="1"/>
    <x v="0"/>
    <x v="8"/>
    <x v="2"/>
    <x v="1"/>
    <n v="4.2"/>
    <n v="5"/>
    <n v="0"/>
    <x v="35"/>
    <n v="0"/>
    <n v="9"/>
  </r>
  <r>
    <x v="50"/>
    <x v="50"/>
    <x v="50"/>
    <s v="Production Technician II"/>
    <s v="MA"/>
    <n v="2169"/>
    <d v="1978-11-25T00:00:00"/>
    <x v="0"/>
    <s v="Married"/>
    <x v="0"/>
    <x v="50"/>
    <n v="32"/>
    <d v="2011-09-26T00:00:00"/>
    <x v="7"/>
    <s v="career change"/>
    <x v="1"/>
    <x v="0"/>
    <x v="10"/>
    <x v="1"/>
    <x v="1"/>
    <n v="4.2"/>
    <n v="4"/>
    <n v="0"/>
    <x v="36"/>
    <n v="0"/>
    <n v="6"/>
  </r>
  <r>
    <x v="51"/>
    <x v="51"/>
    <x v="51"/>
    <s v="Production Technician I"/>
    <s v="MA"/>
    <n v="2134"/>
    <d v="1980-08-26T00:00:00"/>
    <x v="0"/>
    <s v="Married"/>
    <x v="0"/>
    <x v="51"/>
    <n v="30"/>
    <m/>
    <x v="0"/>
    <s v="N/A-StillEmployed"/>
    <x v="0"/>
    <x v="0"/>
    <x v="8"/>
    <x v="3"/>
    <x v="0"/>
    <n v="4.0999999999999996"/>
    <n v="4"/>
    <n v="0"/>
    <x v="37"/>
    <n v="0"/>
    <n v="5"/>
  </r>
  <r>
    <x v="52"/>
    <x v="52"/>
    <x v="52"/>
    <s v="Production Technician I"/>
    <s v="MA"/>
    <n v="2452"/>
    <d v="1977-09-08T00:00:00"/>
    <x v="0"/>
    <s v="Single"/>
    <x v="0"/>
    <x v="52"/>
    <n v="33"/>
    <m/>
    <x v="0"/>
    <s v="N/A-StillEmployed"/>
    <x v="0"/>
    <x v="0"/>
    <x v="10"/>
    <x v="3"/>
    <x v="1"/>
    <n v="4.4000000000000004"/>
    <n v="5"/>
    <n v="0"/>
    <x v="15"/>
    <n v="0"/>
    <n v="3"/>
  </r>
  <r>
    <x v="53"/>
    <x v="53"/>
    <x v="53"/>
    <s v="Production Technician I"/>
    <s v="MA"/>
    <n v="1880"/>
    <d v="1979-08-12T00:00:00"/>
    <x v="0"/>
    <s v="Single"/>
    <x v="1"/>
    <x v="53"/>
    <n v="32"/>
    <d v="2016-09-23T00:00:00"/>
    <x v="3"/>
    <s v="performance"/>
    <x v="2"/>
    <x v="0"/>
    <x v="2"/>
    <x v="0"/>
    <x v="2"/>
    <n v="2"/>
    <n v="3"/>
    <n v="0"/>
    <x v="38"/>
    <n v="5"/>
    <n v="16"/>
  </r>
  <r>
    <x v="54"/>
    <x v="54"/>
    <x v="54"/>
    <s v="Production Manager"/>
    <s v="MA"/>
    <n v="1803"/>
    <d v="1975-12-17T00:00:00"/>
    <x v="0"/>
    <s v="Divorced"/>
    <x v="0"/>
    <x v="54"/>
    <n v="35"/>
    <m/>
    <x v="0"/>
    <s v="N/A-StillEmployed"/>
    <x v="0"/>
    <x v="0"/>
    <x v="13"/>
    <x v="6"/>
    <x v="2"/>
    <n v="4.13"/>
    <n v="2"/>
    <n v="0"/>
    <x v="15"/>
    <n v="3"/>
    <n v="3"/>
  </r>
  <r>
    <x v="55"/>
    <x v="55"/>
    <x v="55"/>
    <s v="Director of Operations"/>
    <s v="MA"/>
    <n v="2030"/>
    <d v="1983-03-19T00:00:00"/>
    <x v="0"/>
    <s v="Single"/>
    <x v="1"/>
    <x v="55"/>
    <n v="28"/>
    <m/>
    <x v="0"/>
    <s v="N/A-StillEmployed"/>
    <x v="0"/>
    <x v="0"/>
    <x v="13"/>
    <x v="1"/>
    <x v="0"/>
    <n v="3.7"/>
    <n v="5"/>
    <n v="0"/>
    <x v="39"/>
    <n v="0"/>
    <n v="15"/>
  </r>
  <r>
    <x v="56"/>
    <x v="56"/>
    <x v="56"/>
    <s v="Production Technician I"/>
    <s v="MA"/>
    <n v="2189"/>
    <d v="1977-03-31T00:00:00"/>
    <x v="1"/>
    <s v="Married"/>
    <x v="0"/>
    <x v="56"/>
    <n v="34"/>
    <m/>
    <x v="0"/>
    <s v="N/A-StillEmployed"/>
    <x v="0"/>
    <x v="0"/>
    <x v="11"/>
    <x v="1"/>
    <x v="1"/>
    <n v="4.7300000000000004"/>
    <n v="5"/>
    <n v="0"/>
    <x v="12"/>
    <n v="0"/>
    <n v="6"/>
  </r>
  <r>
    <x v="57"/>
    <x v="57"/>
    <x v="57"/>
    <s v="Data Analyst"/>
    <s v="MA"/>
    <n v="1810"/>
    <d v="1986-08-26T00:00:00"/>
    <x v="0"/>
    <s v="Married"/>
    <x v="0"/>
    <x v="57"/>
    <n v="25"/>
    <m/>
    <x v="0"/>
    <s v="N/A-StillEmployed"/>
    <x v="0"/>
    <x v="1"/>
    <x v="1"/>
    <x v="1"/>
    <x v="1"/>
    <n v="3.04"/>
    <n v="3"/>
    <n v="6"/>
    <x v="40"/>
    <n v="0"/>
    <n v="2"/>
  </r>
  <r>
    <x v="58"/>
    <x v="58"/>
    <x v="58"/>
    <s v="Production Technician I"/>
    <s v="MA"/>
    <n v="1821"/>
    <d v="1987-04-10T00:00:00"/>
    <x v="1"/>
    <s v="Single"/>
    <x v="0"/>
    <x v="58"/>
    <n v="24"/>
    <m/>
    <x v="0"/>
    <s v="N/A-StillEmployed"/>
    <x v="0"/>
    <x v="0"/>
    <x v="0"/>
    <x v="0"/>
    <x v="1"/>
    <n v="4.12"/>
    <n v="5"/>
    <n v="0"/>
    <x v="41"/>
    <n v="0"/>
    <n v="15"/>
  </r>
  <r>
    <x v="59"/>
    <x v="59"/>
    <x v="59"/>
    <s v="Sr. Network Engineer"/>
    <s v="CT"/>
    <n v="6278"/>
    <d v="1965-09-09T00:00:00"/>
    <x v="0"/>
    <s v="Single"/>
    <x v="0"/>
    <x v="59"/>
    <n v="45"/>
    <m/>
    <x v="0"/>
    <s v="N/A-StillEmployed"/>
    <x v="0"/>
    <x v="1"/>
    <x v="9"/>
    <x v="3"/>
    <x v="1"/>
    <n v="5"/>
    <n v="3"/>
    <n v="4"/>
    <x v="6"/>
    <n v="0"/>
    <n v="5"/>
  </r>
  <r>
    <x v="60"/>
    <x v="60"/>
    <x v="60"/>
    <s v="Sales Manager"/>
    <s v="VT"/>
    <n v="5473"/>
    <d v="1990-04-19T00:00:00"/>
    <x v="1"/>
    <s v="Single"/>
    <x v="0"/>
    <x v="60"/>
    <n v="21"/>
    <m/>
    <x v="0"/>
    <s v="N/A-StillEmployed"/>
    <x v="0"/>
    <x v="4"/>
    <x v="18"/>
    <x v="1"/>
    <x v="1"/>
    <n v="4.62"/>
    <n v="4"/>
    <n v="0"/>
    <x v="42"/>
    <n v="0"/>
    <n v="8"/>
  </r>
  <r>
    <x v="61"/>
    <x v="61"/>
    <x v="61"/>
    <s v="Sr. Network Engineer"/>
    <s v="CT"/>
    <n v="6033"/>
    <d v="1952-01-18T00:00:00"/>
    <x v="1"/>
    <s v="Married"/>
    <x v="0"/>
    <x v="61"/>
    <n v="59"/>
    <m/>
    <x v="0"/>
    <s v="N/A-StillEmployed"/>
    <x v="0"/>
    <x v="1"/>
    <x v="9"/>
    <x v="0"/>
    <x v="1"/>
    <n v="3.1"/>
    <n v="5"/>
    <n v="8"/>
    <x v="31"/>
    <n v="0"/>
    <n v="19"/>
  </r>
  <r>
    <x v="62"/>
    <x v="62"/>
    <x v="62"/>
    <s v="Production Technician I"/>
    <s v="MA"/>
    <n v="2110"/>
    <d v="1978-11-05T00:00:00"/>
    <x v="1"/>
    <s v="Married"/>
    <x v="0"/>
    <x v="62"/>
    <n v="32"/>
    <m/>
    <x v="0"/>
    <s v="N/A-StillEmployed"/>
    <x v="0"/>
    <x v="0"/>
    <x v="3"/>
    <x v="1"/>
    <x v="1"/>
    <n v="5"/>
    <n v="3"/>
    <n v="0"/>
    <x v="7"/>
    <n v="0"/>
    <n v="1"/>
  </r>
  <r>
    <x v="63"/>
    <x v="63"/>
    <x v="63"/>
    <s v="Production Technician II"/>
    <s v="MA"/>
    <n v="2458"/>
    <d v="1979-09-14T00:00:00"/>
    <x v="0"/>
    <s v="Single"/>
    <x v="2"/>
    <x v="63"/>
    <n v="31"/>
    <m/>
    <x v="0"/>
    <s v="N/A-StillEmployed"/>
    <x v="0"/>
    <x v="0"/>
    <x v="2"/>
    <x v="0"/>
    <x v="1"/>
    <n v="3.96"/>
    <n v="4"/>
    <n v="0"/>
    <x v="19"/>
    <n v="0"/>
    <n v="6"/>
  </r>
  <r>
    <x v="64"/>
    <x v="64"/>
    <x v="64"/>
    <s v="Production Technician I"/>
    <s v="MA"/>
    <n v="2138"/>
    <d v="1988-04-15T00:00:00"/>
    <x v="0"/>
    <s v="Married"/>
    <x v="0"/>
    <x v="64"/>
    <n v="23"/>
    <m/>
    <x v="0"/>
    <s v="N/A-StillEmployed"/>
    <x v="0"/>
    <x v="0"/>
    <x v="8"/>
    <x v="1"/>
    <x v="1"/>
    <n v="4.3"/>
    <n v="4"/>
    <n v="3"/>
    <x v="43"/>
    <n v="2"/>
    <n v="2"/>
  </r>
  <r>
    <x v="65"/>
    <x v="65"/>
    <x v="65"/>
    <s v="Production Technician I"/>
    <s v="MA"/>
    <n v="1810"/>
    <d v="1977-10-31T00:00:00"/>
    <x v="0"/>
    <s v="Married"/>
    <x v="0"/>
    <x v="65"/>
    <n v="33"/>
    <d v="2016-06-08T00:00:00"/>
    <x v="1"/>
    <s v="unhappy"/>
    <x v="1"/>
    <x v="0"/>
    <x v="4"/>
    <x v="1"/>
    <x v="1"/>
    <n v="5"/>
    <n v="4"/>
    <n v="0"/>
    <x v="44"/>
    <n v="0"/>
    <n v="14"/>
  </r>
  <r>
    <x v="66"/>
    <x v="66"/>
    <x v="66"/>
    <s v="Software Engineer"/>
    <s v="MA"/>
    <n v="2176"/>
    <d v="1979-07-05T00:00:00"/>
    <x v="1"/>
    <s v="Single"/>
    <x v="1"/>
    <x v="66"/>
    <n v="32"/>
    <m/>
    <x v="0"/>
    <s v="N/A-StillEmployed"/>
    <x v="0"/>
    <x v="2"/>
    <x v="6"/>
    <x v="6"/>
    <x v="1"/>
    <n v="3.79"/>
    <n v="5"/>
    <n v="5"/>
    <x v="8"/>
    <n v="0"/>
    <n v="8"/>
  </r>
  <r>
    <x v="67"/>
    <x v="67"/>
    <x v="67"/>
    <s v="Area Sales Manager"/>
    <s v="AL"/>
    <n v="36006"/>
    <d v="1975-11-02T00:00:00"/>
    <x v="0"/>
    <s v="Single"/>
    <x v="2"/>
    <x v="67"/>
    <n v="35"/>
    <m/>
    <x v="0"/>
    <s v="N/A-StillEmployed"/>
    <x v="0"/>
    <x v="4"/>
    <x v="14"/>
    <x v="1"/>
    <x v="3"/>
    <n v="1.93"/>
    <n v="3"/>
    <n v="0"/>
    <x v="30"/>
    <n v="6"/>
    <n v="5"/>
  </r>
  <r>
    <x v="68"/>
    <x v="68"/>
    <x v="68"/>
    <s v="Production Technician II"/>
    <s v="MA"/>
    <n v="2343"/>
    <d v="1951-02-25T00:00:00"/>
    <x v="1"/>
    <s v="Separated"/>
    <x v="1"/>
    <x v="68"/>
    <n v="60"/>
    <d v="2015-11-04T00:00:00"/>
    <x v="1"/>
    <s v="more money"/>
    <x v="1"/>
    <x v="0"/>
    <x v="11"/>
    <x v="2"/>
    <x v="1"/>
    <n v="4.62"/>
    <n v="5"/>
    <n v="0"/>
    <x v="45"/>
    <n v="0"/>
    <n v="1"/>
  </r>
  <r>
    <x v="69"/>
    <x v="69"/>
    <x v="69"/>
    <s v="Production Technician I"/>
    <s v="MA"/>
    <n v="2061"/>
    <d v="1967-04-19T00:00:00"/>
    <x v="0"/>
    <s v="Married"/>
    <x v="0"/>
    <x v="69"/>
    <n v="44"/>
    <m/>
    <x v="0"/>
    <s v="N/A-StillEmployed"/>
    <x v="0"/>
    <x v="0"/>
    <x v="5"/>
    <x v="1"/>
    <x v="3"/>
    <n v="1.1200000000000001"/>
    <n v="2"/>
    <n v="0"/>
    <x v="43"/>
    <n v="4"/>
    <n v="9"/>
  </r>
  <r>
    <x v="70"/>
    <x v="70"/>
    <x v="70"/>
    <s v="BI Developer"/>
    <s v="MA"/>
    <n v="2045"/>
    <d v="1983-09-04T00:00:00"/>
    <x v="0"/>
    <s v="Single"/>
    <x v="0"/>
    <x v="70"/>
    <n v="28"/>
    <m/>
    <x v="0"/>
    <s v="N/A-StillEmployed"/>
    <x v="0"/>
    <x v="1"/>
    <x v="19"/>
    <x v="1"/>
    <x v="1"/>
    <n v="3.01"/>
    <n v="5"/>
    <n v="7"/>
    <x v="46"/>
    <n v="0"/>
    <n v="15"/>
  </r>
  <r>
    <x v="71"/>
    <x v="71"/>
    <x v="71"/>
    <s v="Production Technician I"/>
    <s v="MA"/>
    <n v="2180"/>
    <d v="1982-11-15T00:00:00"/>
    <x v="0"/>
    <s v="Single"/>
    <x v="0"/>
    <x v="71"/>
    <n v="28"/>
    <m/>
    <x v="0"/>
    <s v="N/A-StillEmployed"/>
    <x v="0"/>
    <x v="0"/>
    <x v="7"/>
    <x v="1"/>
    <x v="1"/>
    <n v="4.3"/>
    <n v="4"/>
    <n v="0"/>
    <x v="32"/>
    <n v="0"/>
    <n v="1"/>
  </r>
  <r>
    <x v="72"/>
    <x v="72"/>
    <x v="72"/>
    <s v="Area Sales Manager"/>
    <s v="WA"/>
    <n v="98052"/>
    <d v="1987-05-14T00:00:00"/>
    <x v="1"/>
    <s v="Single"/>
    <x v="0"/>
    <x v="72"/>
    <n v="24"/>
    <m/>
    <x v="0"/>
    <s v="N/A-StillEmployed"/>
    <x v="0"/>
    <x v="4"/>
    <x v="14"/>
    <x v="7"/>
    <x v="3"/>
    <n v="2.2999999999999998"/>
    <n v="1"/>
    <n v="0"/>
    <x v="47"/>
    <n v="2"/>
    <n v="17"/>
  </r>
  <r>
    <x v="73"/>
    <x v="73"/>
    <x v="73"/>
    <s v="Production Technician I"/>
    <s v="MA"/>
    <n v="2351"/>
    <d v="1978-12-02T00:00:00"/>
    <x v="1"/>
    <s v="Married"/>
    <x v="1"/>
    <x v="73"/>
    <n v="32"/>
    <m/>
    <x v="0"/>
    <s v="N/A-StillEmployed"/>
    <x v="0"/>
    <x v="0"/>
    <x v="8"/>
    <x v="1"/>
    <x v="2"/>
    <n v="3.88"/>
    <n v="4"/>
    <n v="0"/>
    <x v="48"/>
    <n v="0"/>
    <n v="6"/>
  </r>
  <r>
    <x v="74"/>
    <x v="74"/>
    <x v="74"/>
    <s v="Production Technician I"/>
    <s v="MA"/>
    <n v="2125"/>
    <d v="1986-10-07T00:00:00"/>
    <x v="1"/>
    <s v="Single"/>
    <x v="0"/>
    <x v="74"/>
    <n v="24"/>
    <m/>
    <x v="0"/>
    <s v="N/A-StillEmployed"/>
    <x v="0"/>
    <x v="0"/>
    <x v="10"/>
    <x v="6"/>
    <x v="1"/>
    <n v="3.4"/>
    <n v="5"/>
    <n v="0"/>
    <x v="32"/>
    <n v="0"/>
    <n v="15"/>
  </r>
  <r>
    <x v="75"/>
    <x v="75"/>
    <x v="75"/>
    <s v="IT Support"/>
    <s v="MA"/>
    <n v="2119"/>
    <d v="1988-07-18T00:00:00"/>
    <x v="1"/>
    <s v="Married"/>
    <x v="0"/>
    <x v="75"/>
    <n v="23"/>
    <m/>
    <x v="0"/>
    <s v="N/A-StillEmployed"/>
    <x v="0"/>
    <x v="1"/>
    <x v="9"/>
    <x v="3"/>
    <x v="1"/>
    <n v="4.1100000000000003"/>
    <n v="4"/>
    <n v="6"/>
    <x v="7"/>
    <n v="0"/>
    <n v="16"/>
  </r>
  <r>
    <x v="76"/>
    <x v="76"/>
    <x v="76"/>
    <s v="IT Manager - Support"/>
    <s v="MA"/>
    <n v="1886"/>
    <d v="1970-07-09T00:00:00"/>
    <x v="0"/>
    <s v="Single"/>
    <x v="1"/>
    <x v="76"/>
    <n v="41"/>
    <m/>
    <x v="0"/>
    <s v="N/A-StillEmployed"/>
    <x v="0"/>
    <x v="1"/>
    <x v="15"/>
    <x v="1"/>
    <x v="0"/>
    <n v="4.3"/>
    <n v="5"/>
    <n v="5"/>
    <x v="49"/>
    <n v="0"/>
    <n v="4"/>
  </r>
  <r>
    <x v="77"/>
    <x v="77"/>
    <x v="77"/>
    <s v="Area Sales Manager"/>
    <s v="CA"/>
    <n v="90007"/>
    <d v="1988-11-08T00:00:00"/>
    <x v="1"/>
    <s v="Single"/>
    <x v="0"/>
    <x v="77"/>
    <n v="22"/>
    <m/>
    <x v="0"/>
    <s v="N/A-StillEmployed"/>
    <x v="0"/>
    <x v="4"/>
    <x v="16"/>
    <x v="1"/>
    <x v="0"/>
    <n v="4.7699999999999996"/>
    <n v="5"/>
    <n v="0"/>
    <x v="50"/>
    <n v="0"/>
    <n v="14"/>
  </r>
  <r>
    <x v="78"/>
    <x v="78"/>
    <x v="78"/>
    <s v="Production Manager"/>
    <s v="MA"/>
    <n v="1731"/>
    <d v="1973-11-28T00:00:00"/>
    <x v="1"/>
    <s v="Single"/>
    <x v="0"/>
    <x v="78"/>
    <n v="37"/>
    <m/>
    <x v="0"/>
    <s v="N/A-StillEmployed"/>
    <x v="0"/>
    <x v="0"/>
    <x v="13"/>
    <x v="2"/>
    <x v="1"/>
    <n v="4.5199999999999996"/>
    <n v="4"/>
    <n v="0"/>
    <x v="24"/>
    <n v="0"/>
    <n v="4"/>
  </r>
  <r>
    <x v="79"/>
    <x v="79"/>
    <x v="79"/>
    <s v="Production Technician I"/>
    <s v="MA"/>
    <n v="1749"/>
    <d v="1973-09-23T00:00:00"/>
    <x v="1"/>
    <s v="Married"/>
    <x v="0"/>
    <x v="79"/>
    <n v="37"/>
    <m/>
    <x v="0"/>
    <s v="N/A-StillEmployed"/>
    <x v="0"/>
    <x v="0"/>
    <x v="7"/>
    <x v="2"/>
    <x v="1"/>
    <n v="2.9"/>
    <n v="3"/>
    <n v="0"/>
    <x v="26"/>
    <n v="0"/>
    <n v="6"/>
  </r>
  <r>
    <x v="80"/>
    <x v="80"/>
    <x v="80"/>
    <s v="Production Technician I"/>
    <s v="MA"/>
    <n v="2343"/>
    <d v="1991-09-05T00:00:00"/>
    <x v="1"/>
    <s v="Married"/>
    <x v="0"/>
    <x v="80"/>
    <n v="20"/>
    <d v="2017-06-06T00:00:00"/>
    <x v="3"/>
    <s v="military"/>
    <x v="1"/>
    <x v="0"/>
    <x v="2"/>
    <x v="2"/>
    <x v="1"/>
    <n v="5"/>
    <n v="3"/>
    <n v="0"/>
    <x v="51"/>
    <n v="0"/>
    <n v="7"/>
  </r>
  <r>
    <x v="81"/>
    <x v="81"/>
    <x v="81"/>
    <s v="Production Technician I"/>
    <s v="MA"/>
    <n v="2026"/>
    <d v="1974-05-31T00:00:00"/>
    <x v="0"/>
    <s v="Single"/>
    <x v="0"/>
    <x v="81"/>
    <n v="37"/>
    <m/>
    <x v="0"/>
    <s v="N/A-StillEmployed"/>
    <x v="0"/>
    <x v="0"/>
    <x v="11"/>
    <x v="0"/>
    <x v="1"/>
    <n v="4.7"/>
    <n v="5"/>
    <n v="0"/>
    <x v="52"/>
    <n v="0"/>
    <n v="8"/>
  </r>
  <r>
    <x v="82"/>
    <x v="82"/>
    <x v="82"/>
    <s v="Production Technician I"/>
    <s v="MA"/>
    <n v="2045"/>
    <d v="1978-08-25T00:00:00"/>
    <x v="0"/>
    <s v="Married"/>
    <x v="0"/>
    <x v="82"/>
    <n v="33"/>
    <m/>
    <x v="0"/>
    <s v="N/A-StillEmployed"/>
    <x v="0"/>
    <x v="0"/>
    <x v="11"/>
    <x v="3"/>
    <x v="1"/>
    <n v="4.2"/>
    <n v="3"/>
    <n v="0"/>
    <x v="17"/>
    <n v="0"/>
    <n v="3"/>
  </r>
  <r>
    <x v="83"/>
    <x v="83"/>
    <x v="83"/>
    <s v="Production Technician II"/>
    <s v="MA"/>
    <n v="2133"/>
    <d v="1989-08-25T00:00:00"/>
    <x v="1"/>
    <s v="Separated"/>
    <x v="0"/>
    <x v="83"/>
    <n v="22"/>
    <m/>
    <x v="0"/>
    <s v="N/A-StillEmployed"/>
    <x v="0"/>
    <x v="0"/>
    <x v="0"/>
    <x v="1"/>
    <x v="3"/>
    <n v="3"/>
    <n v="1"/>
    <n v="0"/>
    <x v="7"/>
    <n v="2"/>
    <n v="5"/>
  </r>
  <r>
    <x v="84"/>
    <x v="84"/>
    <x v="84"/>
    <s v="Production Technician I"/>
    <s v="MA"/>
    <n v="2129"/>
    <d v="1983-09-02T00:00:00"/>
    <x v="0"/>
    <s v="Single"/>
    <x v="0"/>
    <x v="84"/>
    <n v="28"/>
    <d v="2018-09-27T00:00:00"/>
    <x v="8"/>
    <s v="attendance"/>
    <x v="2"/>
    <x v="0"/>
    <x v="0"/>
    <x v="2"/>
    <x v="2"/>
    <n v="5"/>
    <n v="4"/>
    <n v="0"/>
    <x v="53"/>
    <n v="5"/>
    <n v="16"/>
  </r>
  <r>
    <x v="85"/>
    <x v="85"/>
    <x v="85"/>
    <s v="Production Technician I"/>
    <s v="MA"/>
    <n v="2458"/>
    <d v="1989-05-06T00:00:00"/>
    <x v="1"/>
    <s v="Single"/>
    <x v="0"/>
    <x v="85"/>
    <n v="22"/>
    <d v="2018-02-25T00:00:00"/>
    <x v="4"/>
    <s v="no-call, no-show"/>
    <x v="2"/>
    <x v="0"/>
    <x v="3"/>
    <x v="2"/>
    <x v="2"/>
    <n v="2.2999999999999998"/>
    <n v="3"/>
    <n v="0"/>
    <x v="54"/>
    <n v="5"/>
    <n v="19"/>
  </r>
  <r>
    <x v="86"/>
    <x v="86"/>
    <x v="86"/>
    <s v="Software Engineer"/>
    <s v="MA"/>
    <n v="1749"/>
    <d v="1987-05-15T00:00:00"/>
    <x v="1"/>
    <s v="Married"/>
    <x v="1"/>
    <x v="86"/>
    <n v="24"/>
    <d v="2013-06-05T00:00:00"/>
    <x v="2"/>
    <s v="attendance"/>
    <x v="2"/>
    <x v="2"/>
    <x v="6"/>
    <x v="1"/>
    <x v="2"/>
    <n v="2.1"/>
    <n v="5"/>
    <n v="4"/>
    <x v="55"/>
    <n v="4"/>
    <n v="19"/>
  </r>
  <r>
    <x v="87"/>
    <x v="87"/>
    <x v="87"/>
    <s v="Production Technician II"/>
    <s v="MA"/>
    <n v="1824"/>
    <d v="1978-09-22T00:00:00"/>
    <x v="1"/>
    <s v="Married"/>
    <x v="1"/>
    <x v="87"/>
    <n v="33"/>
    <m/>
    <x v="0"/>
    <s v="N/A-StillEmployed"/>
    <x v="0"/>
    <x v="0"/>
    <x v="3"/>
    <x v="0"/>
    <x v="1"/>
    <n v="4.4000000000000004"/>
    <n v="5"/>
    <n v="0"/>
    <x v="29"/>
    <n v="0"/>
    <n v="17"/>
  </r>
  <r>
    <x v="88"/>
    <x v="88"/>
    <x v="88"/>
    <s v="Production Technician II"/>
    <s v="MA"/>
    <n v="2324"/>
    <d v="1987-09-27T00:00:00"/>
    <x v="1"/>
    <s v="Single"/>
    <x v="1"/>
    <x v="88"/>
    <n v="24"/>
    <m/>
    <x v="0"/>
    <s v="N/A-StillEmployed"/>
    <x v="0"/>
    <x v="0"/>
    <x v="4"/>
    <x v="0"/>
    <x v="1"/>
    <n v="4"/>
    <n v="4"/>
    <n v="0"/>
    <x v="5"/>
    <n v="0"/>
    <n v="7"/>
  </r>
  <r>
    <x v="89"/>
    <x v="89"/>
    <x v="89"/>
    <s v="Production Technician I"/>
    <s v="MA"/>
    <n v="2176"/>
    <d v="1955-04-14T00:00:00"/>
    <x v="1"/>
    <s v="Married"/>
    <x v="0"/>
    <x v="89"/>
    <n v="56"/>
    <d v="2016-05-17T00:00:00"/>
    <x v="1"/>
    <s v="military"/>
    <x v="1"/>
    <x v="0"/>
    <x v="4"/>
    <x v="2"/>
    <x v="1"/>
    <n v="3.13"/>
    <n v="3"/>
    <n v="0"/>
    <x v="56"/>
    <n v="0"/>
    <n v="16"/>
  </r>
  <r>
    <x v="90"/>
    <x v="90"/>
    <x v="90"/>
    <s v="Production Technician I"/>
    <s v="MA"/>
    <n v="2132"/>
    <d v="1989-10-18T00:00:00"/>
    <x v="0"/>
    <s v="Married"/>
    <x v="0"/>
    <x v="90"/>
    <n v="21"/>
    <m/>
    <x v="0"/>
    <s v="N/A-StillEmployed"/>
    <x v="0"/>
    <x v="0"/>
    <x v="5"/>
    <x v="1"/>
    <x v="3"/>
    <n v="1.56"/>
    <n v="5"/>
    <n v="0"/>
    <x v="3"/>
    <n v="6"/>
    <n v="15"/>
  </r>
  <r>
    <x v="91"/>
    <x v="91"/>
    <x v="91"/>
    <s v="Network Engineer"/>
    <s v="MA"/>
    <n v="2138"/>
    <d v="1987-06-18T00:00:00"/>
    <x v="0"/>
    <s v="Single"/>
    <x v="0"/>
    <x v="91"/>
    <n v="24"/>
    <m/>
    <x v="0"/>
    <s v="N/A-StillEmployed"/>
    <x v="0"/>
    <x v="1"/>
    <x v="9"/>
    <x v="0"/>
    <x v="3"/>
    <n v="1.2"/>
    <n v="3"/>
    <n v="6"/>
    <x v="39"/>
    <n v="3"/>
    <n v="2"/>
  </r>
  <r>
    <x v="92"/>
    <x v="92"/>
    <x v="92"/>
    <s v="Production Technician I"/>
    <s v="MA"/>
    <n v="2155"/>
    <d v="1981-03-16T00:00:00"/>
    <x v="1"/>
    <s v="Married"/>
    <x v="0"/>
    <x v="92"/>
    <n v="30"/>
    <m/>
    <x v="0"/>
    <s v="N/A-StillEmployed"/>
    <x v="0"/>
    <x v="0"/>
    <x v="8"/>
    <x v="2"/>
    <x v="1"/>
    <n v="5"/>
    <n v="5"/>
    <n v="0"/>
    <x v="47"/>
    <n v="0"/>
    <n v="19"/>
  </r>
  <r>
    <x v="93"/>
    <x v="93"/>
    <x v="93"/>
    <s v="Production Technician II"/>
    <s v="MA"/>
    <n v="2143"/>
    <d v="1981-10-01T00:00:00"/>
    <x v="0"/>
    <s v="Single"/>
    <x v="0"/>
    <x v="93"/>
    <n v="30"/>
    <d v="2013-06-24T00:00:00"/>
    <x v="2"/>
    <s v="hours"/>
    <x v="1"/>
    <x v="0"/>
    <x v="5"/>
    <x v="2"/>
    <x v="1"/>
    <n v="4.76"/>
    <n v="5"/>
    <n v="0"/>
    <x v="57"/>
    <n v="0"/>
    <n v="20"/>
  </r>
  <r>
    <x v="94"/>
    <x v="94"/>
    <x v="94"/>
    <s v="Production Technician II"/>
    <s v="MA"/>
    <n v="2170"/>
    <d v="1983-11-08T00:00:00"/>
    <x v="1"/>
    <s v="Married"/>
    <x v="0"/>
    <x v="94"/>
    <n v="27"/>
    <d v="2013-01-09T00:00:00"/>
    <x v="2"/>
    <s v="career change"/>
    <x v="1"/>
    <x v="0"/>
    <x v="7"/>
    <x v="2"/>
    <x v="1"/>
    <n v="3.66"/>
    <n v="3"/>
    <n v="0"/>
    <x v="58"/>
    <n v="0"/>
    <n v="6"/>
  </r>
  <r>
    <x v="95"/>
    <x v="95"/>
    <x v="95"/>
    <s v="Area Sales Manager"/>
    <s v="MA"/>
    <n v="2330"/>
    <d v="1975-07-07T00:00:00"/>
    <x v="0"/>
    <s v="Married"/>
    <x v="0"/>
    <x v="95"/>
    <n v="36"/>
    <d v="2018-08-19T00:00:00"/>
    <x v="4"/>
    <s v="Fatal attraction"/>
    <x v="2"/>
    <x v="4"/>
    <x v="16"/>
    <x v="3"/>
    <x v="3"/>
    <n v="2"/>
    <n v="5"/>
    <n v="0"/>
    <x v="41"/>
    <n v="4"/>
    <n v="7"/>
  </r>
  <r>
    <x v="96"/>
    <x v="96"/>
    <x v="96"/>
    <s v="IT Director"/>
    <s v="MA"/>
    <n v="1460"/>
    <d v="1980-07-05T00:00:00"/>
    <x v="0"/>
    <s v="Single"/>
    <x v="1"/>
    <x v="96"/>
    <n v="31"/>
    <m/>
    <x v="0"/>
    <s v="N/A-StillEmployed"/>
    <x v="0"/>
    <x v="1"/>
    <x v="15"/>
    <x v="1"/>
    <x v="0"/>
    <n v="5"/>
    <n v="5"/>
    <n v="5"/>
    <x v="5"/>
    <n v="0"/>
    <n v="15"/>
  </r>
  <r>
    <x v="97"/>
    <x v="97"/>
    <x v="97"/>
    <s v="Sr. Accountant"/>
    <s v="MA"/>
    <n v="2050"/>
    <d v="1979-04-16T00:00:00"/>
    <x v="1"/>
    <s v="Married"/>
    <x v="0"/>
    <x v="97"/>
    <n v="32"/>
    <m/>
    <x v="0"/>
    <s v="N/A-StillEmployed"/>
    <x v="0"/>
    <x v="3"/>
    <x v="20"/>
    <x v="8"/>
    <x v="1"/>
    <n v="5"/>
    <n v="3"/>
    <n v="2"/>
    <x v="59"/>
    <n v="0"/>
    <n v="3"/>
  </r>
  <r>
    <x v="98"/>
    <x v="98"/>
    <x v="98"/>
    <s v="Area Sales Manager"/>
    <s v="CT"/>
    <n v="6050"/>
    <d v="1963-08-28T00:00:00"/>
    <x v="0"/>
    <s v="Single"/>
    <x v="1"/>
    <x v="98"/>
    <n v="48"/>
    <m/>
    <x v="0"/>
    <s v="N/A-StillEmployed"/>
    <x v="0"/>
    <x v="4"/>
    <x v="16"/>
    <x v="6"/>
    <x v="1"/>
    <n v="4.3"/>
    <n v="3"/>
    <n v="0"/>
    <x v="50"/>
    <n v="2"/>
    <n v="7"/>
  </r>
  <r>
    <x v="99"/>
    <x v="99"/>
    <x v="99"/>
    <s v="IT Support"/>
    <s v="CT"/>
    <n v="6040"/>
    <d v="1968-07-06T00:00:00"/>
    <x v="1"/>
    <s v="Single"/>
    <x v="0"/>
    <x v="99"/>
    <n v="43"/>
    <m/>
    <x v="0"/>
    <s v="N/A-StillEmployed"/>
    <x v="0"/>
    <x v="1"/>
    <x v="17"/>
    <x v="0"/>
    <x v="1"/>
    <n v="4.7"/>
    <n v="4"/>
    <n v="5"/>
    <x v="25"/>
    <n v="0"/>
    <n v="1"/>
  </r>
  <r>
    <x v="100"/>
    <x v="100"/>
    <x v="100"/>
    <s v="Production Technician I"/>
    <s v="MA"/>
    <n v="1905"/>
    <d v="1985-09-15T00:00:00"/>
    <x v="0"/>
    <s v="Single"/>
    <x v="0"/>
    <x v="100"/>
    <n v="26"/>
    <m/>
    <x v="0"/>
    <s v="N/A-StillEmployed"/>
    <x v="0"/>
    <x v="0"/>
    <x v="10"/>
    <x v="3"/>
    <x v="1"/>
    <n v="4.5"/>
    <n v="3"/>
    <n v="0"/>
    <x v="9"/>
    <n v="0"/>
    <n v="5"/>
  </r>
  <r>
    <x v="101"/>
    <x v="101"/>
    <x v="101"/>
    <s v="Production Technician I"/>
    <s v="MA"/>
    <n v="2121"/>
    <d v="1983-12-02T00:00:00"/>
    <x v="1"/>
    <s v="Single"/>
    <x v="1"/>
    <x v="101"/>
    <n v="27"/>
    <m/>
    <x v="0"/>
    <s v="N/A-StillEmployed"/>
    <x v="0"/>
    <x v="0"/>
    <x v="11"/>
    <x v="0"/>
    <x v="1"/>
    <n v="4.2"/>
    <n v="4"/>
    <n v="0"/>
    <x v="60"/>
    <n v="0"/>
    <n v="12"/>
  </r>
  <r>
    <x v="102"/>
    <x v="102"/>
    <x v="102"/>
    <s v="Production Technician I"/>
    <s v="MA"/>
    <n v="2145"/>
    <d v="1990-10-01T00:00:00"/>
    <x v="1"/>
    <s v="Married"/>
    <x v="1"/>
    <x v="102"/>
    <n v="21"/>
    <m/>
    <x v="0"/>
    <s v="N/A-StillEmployed"/>
    <x v="0"/>
    <x v="0"/>
    <x v="0"/>
    <x v="0"/>
    <x v="1"/>
    <n v="3.73"/>
    <n v="3"/>
    <n v="0"/>
    <x v="61"/>
    <n v="0"/>
    <n v="19"/>
  </r>
  <r>
    <x v="103"/>
    <x v="103"/>
    <x v="103"/>
    <s v="Production Technician I"/>
    <s v="MA"/>
    <n v="2330"/>
    <d v="1970-05-15T00:00:00"/>
    <x v="1"/>
    <s v="Divorced"/>
    <x v="1"/>
    <x v="103"/>
    <n v="41"/>
    <d v="2016-11-15T00:00:00"/>
    <x v="3"/>
    <s v="hours"/>
    <x v="1"/>
    <x v="0"/>
    <x v="3"/>
    <x v="4"/>
    <x v="1"/>
    <n v="4.24"/>
    <n v="4"/>
    <n v="0"/>
    <x v="62"/>
    <n v="0"/>
    <n v="2"/>
  </r>
  <r>
    <x v="104"/>
    <x v="104"/>
    <x v="104"/>
    <s v="Area Sales Manager"/>
    <s v="OH"/>
    <n v="43050"/>
    <d v="1971-07-10T00:00:00"/>
    <x v="1"/>
    <s v="Widowed"/>
    <x v="1"/>
    <x v="104"/>
    <n v="40"/>
    <d v="2015-09-05T00:00:00"/>
    <x v="6"/>
    <s v="attendance"/>
    <x v="2"/>
    <x v="4"/>
    <x v="14"/>
    <x v="6"/>
    <x v="1"/>
    <n v="3.97"/>
    <n v="4"/>
    <n v="0"/>
    <x v="63"/>
    <n v="0"/>
    <n v="7"/>
  </r>
  <r>
    <x v="105"/>
    <x v="105"/>
    <x v="105"/>
    <s v="Production Technician I"/>
    <s v="MA"/>
    <n v="2062"/>
    <d v="1974-08-09T00:00:00"/>
    <x v="0"/>
    <s v="Married"/>
    <x v="1"/>
    <x v="105"/>
    <n v="37"/>
    <d v="2015-06-25T00:00:00"/>
    <x v="6"/>
    <s v="military"/>
    <x v="1"/>
    <x v="0"/>
    <x v="4"/>
    <x v="4"/>
    <x v="2"/>
    <n v="3.97"/>
    <n v="4"/>
    <n v="0"/>
    <x v="64"/>
    <n v="3"/>
    <n v="15"/>
  </r>
  <r>
    <x v="106"/>
    <x v="106"/>
    <x v="24"/>
    <s v="Production Technician I"/>
    <s v="MA"/>
    <n v="2451"/>
    <d v="1980-05-08T00:00:00"/>
    <x v="1"/>
    <s v="Single"/>
    <x v="2"/>
    <x v="106"/>
    <n v="31"/>
    <m/>
    <x v="0"/>
    <s v="N/A-StillEmployed"/>
    <x v="0"/>
    <x v="0"/>
    <x v="5"/>
    <x v="1"/>
    <x v="0"/>
    <n v="3.9"/>
    <n v="4"/>
    <n v="0"/>
    <x v="65"/>
    <n v="0"/>
    <n v="3"/>
  </r>
  <r>
    <x v="107"/>
    <x v="107"/>
    <x v="106"/>
    <s v="Area Sales Manager"/>
    <s v="IN"/>
    <n v="46204"/>
    <d v="1989-09-22T00:00:00"/>
    <x v="1"/>
    <s v="Single"/>
    <x v="0"/>
    <x v="107"/>
    <n v="22"/>
    <m/>
    <x v="0"/>
    <s v="N/A-StillEmployed"/>
    <x v="0"/>
    <x v="4"/>
    <x v="16"/>
    <x v="1"/>
    <x v="1"/>
    <n v="4.5"/>
    <n v="5"/>
    <n v="0"/>
    <x v="8"/>
    <n v="0"/>
    <n v="20"/>
  </r>
  <r>
    <x v="108"/>
    <x v="108"/>
    <x v="107"/>
    <s v="Database Administrator"/>
    <s v="MA"/>
    <n v="2127"/>
    <d v="1971-10-23T00:00:00"/>
    <x v="1"/>
    <s v="Single"/>
    <x v="0"/>
    <x v="108"/>
    <n v="39"/>
    <d v="2015-03-15T00:00:00"/>
    <x v="6"/>
    <s v="no-call, no-show"/>
    <x v="2"/>
    <x v="1"/>
    <x v="1"/>
    <x v="1"/>
    <x v="1"/>
    <n v="4.5999999999999996"/>
    <n v="4"/>
    <n v="4"/>
    <x v="64"/>
    <n v="0"/>
    <n v="10"/>
  </r>
  <r>
    <x v="109"/>
    <x v="109"/>
    <x v="108"/>
    <s v="IT Support"/>
    <s v="MA"/>
    <n v="2135"/>
    <d v="1989-11-24T00:00:00"/>
    <x v="0"/>
    <s v="Married"/>
    <x v="0"/>
    <x v="109"/>
    <n v="21"/>
    <m/>
    <x v="0"/>
    <s v="N/A-StillEmployed"/>
    <x v="0"/>
    <x v="1"/>
    <x v="9"/>
    <x v="0"/>
    <x v="1"/>
    <n v="4.3"/>
    <n v="5"/>
    <n v="7"/>
    <x v="18"/>
    <n v="0"/>
    <n v="20"/>
  </r>
  <r>
    <x v="110"/>
    <x v="110"/>
    <x v="109"/>
    <s v="Production Technician I"/>
    <s v="MA"/>
    <n v="2451"/>
    <d v="1992-06-18T00:00:00"/>
    <x v="1"/>
    <s v="Single"/>
    <x v="0"/>
    <x v="110"/>
    <n v="19"/>
    <m/>
    <x v="0"/>
    <s v="N/A-StillEmployed"/>
    <x v="0"/>
    <x v="0"/>
    <x v="7"/>
    <x v="1"/>
    <x v="1"/>
    <n v="4.3"/>
    <n v="5"/>
    <n v="0"/>
    <x v="9"/>
    <n v="0"/>
    <n v="7"/>
  </r>
  <r>
    <x v="111"/>
    <x v="111"/>
    <x v="110"/>
    <s v="Production Technician I"/>
    <s v="MA"/>
    <n v="2108"/>
    <d v="1969-09-29T00:00:00"/>
    <x v="0"/>
    <s v="Divorced"/>
    <x v="1"/>
    <x v="111"/>
    <n v="42"/>
    <m/>
    <x v="0"/>
    <s v="N/A-StillEmployed"/>
    <x v="0"/>
    <x v="0"/>
    <x v="8"/>
    <x v="4"/>
    <x v="0"/>
    <n v="4.5"/>
    <n v="4"/>
    <n v="0"/>
    <x v="9"/>
    <n v="0"/>
    <n v="1"/>
  </r>
  <r>
    <x v="112"/>
    <x v="112"/>
    <x v="111"/>
    <s v="Production Technician II"/>
    <s v="MA"/>
    <n v="2128"/>
    <d v="1964-10-12T00:00:00"/>
    <x v="0"/>
    <s v="Married"/>
    <x v="1"/>
    <x v="112"/>
    <n v="47"/>
    <d v="2011-05-30T00:00:00"/>
    <x v="0"/>
    <s v="career change"/>
    <x v="1"/>
    <x v="0"/>
    <x v="8"/>
    <x v="4"/>
    <x v="3"/>
    <n v="3"/>
    <n v="3"/>
    <n v="0"/>
    <x v="66"/>
    <n v="3"/>
    <n v="10"/>
  </r>
  <r>
    <x v="113"/>
    <x v="113"/>
    <x v="112"/>
    <s v="IT Support"/>
    <s v="MA"/>
    <n v="2472"/>
    <d v="1981-04-16T00:00:00"/>
    <x v="1"/>
    <s v="Separated"/>
    <x v="0"/>
    <x v="113"/>
    <n v="30"/>
    <m/>
    <x v="0"/>
    <s v="N/A-StillEmployed"/>
    <x v="0"/>
    <x v="1"/>
    <x v="9"/>
    <x v="3"/>
    <x v="1"/>
    <n v="4.6100000000000003"/>
    <n v="4"/>
    <n v="5"/>
    <x v="41"/>
    <n v="0"/>
    <n v="11"/>
  </r>
  <r>
    <x v="114"/>
    <x v="114"/>
    <x v="113"/>
    <s v="Production Technician II"/>
    <s v="MA"/>
    <n v="1886"/>
    <d v="1986-05-25T00:00:00"/>
    <x v="1"/>
    <s v="Married"/>
    <x v="0"/>
    <x v="114"/>
    <n v="25"/>
    <m/>
    <x v="0"/>
    <s v="N/A-StillEmployed"/>
    <x v="0"/>
    <x v="0"/>
    <x v="10"/>
    <x v="0"/>
    <x v="1"/>
    <n v="4.5999999999999996"/>
    <n v="3"/>
    <n v="0"/>
    <x v="65"/>
    <n v="0"/>
    <n v="20"/>
  </r>
  <r>
    <x v="115"/>
    <x v="115"/>
    <x v="114"/>
    <s v="Production Technician I"/>
    <s v="MA"/>
    <n v="2169"/>
    <d v="1979-05-21T00:00:00"/>
    <x v="0"/>
    <s v="Married"/>
    <x v="0"/>
    <x v="115"/>
    <n v="32"/>
    <m/>
    <x v="0"/>
    <s v="N/A-StillEmployed"/>
    <x v="0"/>
    <x v="0"/>
    <x v="10"/>
    <x v="0"/>
    <x v="1"/>
    <n v="5"/>
    <n v="3"/>
    <n v="0"/>
    <x v="15"/>
    <n v="0"/>
    <n v="2"/>
  </r>
  <r>
    <x v="116"/>
    <x v="116"/>
    <x v="115"/>
    <s v="Production Technician II"/>
    <s v="MA"/>
    <n v="1824"/>
    <d v="1983-12-08T00:00:00"/>
    <x v="1"/>
    <s v="Separated"/>
    <x v="4"/>
    <x v="116"/>
    <n v="27"/>
    <m/>
    <x v="0"/>
    <s v="N/A-StillEmployed"/>
    <x v="0"/>
    <x v="0"/>
    <x v="2"/>
    <x v="2"/>
    <x v="1"/>
    <n v="4.4000000000000004"/>
    <n v="5"/>
    <n v="0"/>
    <x v="28"/>
    <n v="0"/>
    <n v="1"/>
  </r>
  <r>
    <x v="117"/>
    <x v="117"/>
    <x v="116"/>
    <s v="Production Technician I"/>
    <s v="MA"/>
    <n v="1864"/>
    <d v="1974-10-09T00:00:00"/>
    <x v="1"/>
    <s v="Married"/>
    <x v="3"/>
    <x v="117"/>
    <n v="37"/>
    <m/>
    <x v="0"/>
    <s v="N/A-StillEmployed"/>
    <x v="0"/>
    <x v="0"/>
    <x v="2"/>
    <x v="0"/>
    <x v="1"/>
    <n v="4.0999999999999996"/>
    <n v="5"/>
    <n v="0"/>
    <x v="67"/>
    <n v="0"/>
    <n v="3"/>
  </r>
  <r>
    <x v="118"/>
    <x v="118"/>
    <x v="117"/>
    <s v="Production Manager"/>
    <s v="MA"/>
    <n v="1752"/>
    <d v="1981-07-11T00:00:00"/>
    <x v="0"/>
    <s v="Divorced"/>
    <x v="0"/>
    <x v="118"/>
    <n v="30"/>
    <m/>
    <x v="0"/>
    <s v="N/A-StillEmployed"/>
    <x v="0"/>
    <x v="0"/>
    <x v="13"/>
    <x v="3"/>
    <x v="1"/>
    <n v="4.63"/>
    <n v="3"/>
    <n v="0"/>
    <x v="49"/>
    <n v="0"/>
    <n v="2"/>
  </r>
  <r>
    <x v="119"/>
    <x v="119"/>
    <x v="118"/>
    <s v="Production Technician I"/>
    <s v="MA"/>
    <n v="2176"/>
    <d v="1983-05-21T00:00:00"/>
    <x v="1"/>
    <s v="Divorced"/>
    <x v="0"/>
    <x v="119"/>
    <n v="28"/>
    <d v="2014-01-11T00:00:00"/>
    <x v="5"/>
    <s v="more money"/>
    <x v="1"/>
    <x v="0"/>
    <x v="11"/>
    <x v="6"/>
    <x v="1"/>
    <n v="5"/>
    <n v="5"/>
    <n v="0"/>
    <x v="68"/>
    <n v="0"/>
    <n v="17"/>
  </r>
  <r>
    <x v="120"/>
    <x v="120"/>
    <x v="119"/>
    <s v="BI Developer"/>
    <s v="MA"/>
    <n v="2134"/>
    <d v="1989-06-30T00:00:00"/>
    <x v="0"/>
    <s v="Married"/>
    <x v="1"/>
    <x v="120"/>
    <n v="22"/>
    <m/>
    <x v="0"/>
    <s v="N/A-StillEmployed"/>
    <x v="0"/>
    <x v="1"/>
    <x v="19"/>
    <x v="1"/>
    <x v="1"/>
    <n v="4.2"/>
    <n v="5"/>
    <n v="5"/>
    <x v="41"/>
    <n v="0"/>
    <n v="8"/>
  </r>
  <r>
    <x v="121"/>
    <x v="121"/>
    <x v="120"/>
    <s v="Area Sales Manager"/>
    <s v="TN"/>
    <n v="37129"/>
    <d v="1969-02-09T00:00:00"/>
    <x v="0"/>
    <s v="Single"/>
    <x v="2"/>
    <x v="121"/>
    <n v="42"/>
    <d v="2014-10-31T00:00:00"/>
    <x v="5"/>
    <s v="relocation out of area"/>
    <x v="1"/>
    <x v="4"/>
    <x v="14"/>
    <x v="0"/>
    <x v="1"/>
    <n v="4.5"/>
    <n v="5"/>
    <n v="0"/>
    <x v="69"/>
    <n v="0"/>
    <n v="20"/>
  </r>
  <r>
    <x v="122"/>
    <x v="122"/>
    <x v="121"/>
    <s v="Production Technician I"/>
    <s v="MA"/>
    <n v="2127"/>
    <d v="1977-03-23T00:00:00"/>
    <x v="1"/>
    <s v="Married"/>
    <x v="0"/>
    <x v="122"/>
    <n v="34"/>
    <m/>
    <x v="0"/>
    <s v="N/A-StillEmployed"/>
    <x v="0"/>
    <x v="0"/>
    <x v="0"/>
    <x v="2"/>
    <x v="1"/>
    <n v="4.2"/>
    <n v="4"/>
    <n v="0"/>
    <x v="29"/>
    <n v="0"/>
    <n v="13"/>
  </r>
  <r>
    <x v="123"/>
    <x v="123"/>
    <x v="122"/>
    <s v="Production Technician II"/>
    <s v="MA"/>
    <n v="2155"/>
    <d v="1988-08-10T00:00:00"/>
    <x v="0"/>
    <s v="Single"/>
    <x v="0"/>
    <x v="123"/>
    <n v="23"/>
    <m/>
    <x v="0"/>
    <s v="N/A-StillEmployed"/>
    <x v="0"/>
    <x v="0"/>
    <x v="11"/>
    <x v="0"/>
    <x v="1"/>
    <n v="5"/>
    <n v="3"/>
    <n v="0"/>
    <x v="70"/>
    <n v="0"/>
    <n v="20"/>
  </r>
  <r>
    <x v="124"/>
    <x v="124"/>
    <x v="123"/>
    <s v="Production Technician I"/>
    <s v="MA"/>
    <n v="2324"/>
    <d v="1952-08-18T00:00:00"/>
    <x v="1"/>
    <s v="Single"/>
    <x v="0"/>
    <x v="124"/>
    <n v="59"/>
    <d v="2015-12-15T00:00:00"/>
    <x v="1"/>
    <s v="retiring"/>
    <x v="1"/>
    <x v="0"/>
    <x v="4"/>
    <x v="6"/>
    <x v="1"/>
    <n v="4.6399999999999997"/>
    <n v="4"/>
    <n v="0"/>
    <x v="71"/>
    <n v="0"/>
    <n v="8"/>
  </r>
  <r>
    <x v="125"/>
    <x v="125"/>
    <x v="124"/>
    <s v="Production Technician I"/>
    <s v="MA"/>
    <n v="1886"/>
    <d v="1974-05-02T00:00:00"/>
    <x v="1"/>
    <s v="Married"/>
    <x v="0"/>
    <x v="125"/>
    <n v="37"/>
    <m/>
    <x v="0"/>
    <s v="N/A-StillEmployed"/>
    <x v="0"/>
    <x v="0"/>
    <x v="5"/>
    <x v="6"/>
    <x v="0"/>
    <n v="4.76"/>
    <n v="4"/>
    <n v="0"/>
    <x v="67"/>
    <n v="0"/>
    <n v="5"/>
  </r>
  <r>
    <x v="126"/>
    <x v="126"/>
    <x v="125"/>
    <s v="Production Technician I"/>
    <s v="MA"/>
    <n v="2149"/>
    <d v="1984-01-04T00:00:00"/>
    <x v="0"/>
    <s v="Single"/>
    <x v="0"/>
    <x v="126"/>
    <n v="27"/>
    <m/>
    <x v="0"/>
    <s v="N/A-StillEmployed"/>
    <x v="0"/>
    <x v="0"/>
    <x v="7"/>
    <x v="2"/>
    <x v="1"/>
    <n v="4.17"/>
    <n v="4"/>
    <n v="0"/>
    <x v="72"/>
    <n v="0"/>
    <n v="1"/>
  </r>
  <r>
    <x v="127"/>
    <x v="127"/>
    <x v="126"/>
    <s v="Production Technician II"/>
    <s v="MA"/>
    <n v="2021"/>
    <d v="1972-08-27T00:00:00"/>
    <x v="1"/>
    <s v="Single"/>
    <x v="0"/>
    <x v="127"/>
    <n v="39"/>
    <d v="2013-06-18T00:00:00"/>
    <x v="2"/>
    <s v="hours"/>
    <x v="1"/>
    <x v="0"/>
    <x v="11"/>
    <x v="6"/>
    <x v="1"/>
    <n v="5"/>
    <n v="3"/>
    <n v="0"/>
    <x v="73"/>
    <n v="0"/>
    <n v="15"/>
  </r>
  <r>
    <x v="128"/>
    <x v="128"/>
    <x v="127"/>
    <s v="Area Sales Manager"/>
    <s v="NH"/>
    <n v="3062"/>
    <d v="1988-09-14T00:00:00"/>
    <x v="0"/>
    <s v="Married"/>
    <x v="4"/>
    <x v="128"/>
    <n v="23"/>
    <m/>
    <x v="0"/>
    <s v="N/A-StillEmployed"/>
    <x v="0"/>
    <x v="4"/>
    <x v="14"/>
    <x v="1"/>
    <x v="1"/>
    <n v="3.6"/>
    <n v="5"/>
    <n v="0"/>
    <x v="30"/>
    <n v="0"/>
    <n v="9"/>
  </r>
  <r>
    <x v="129"/>
    <x v="129"/>
    <x v="128"/>
    <s v="Production Technician II"/>
    <s v="MA"/>
    <n v="2445"/>
    <d v="1984-02-16T00:00:00"/>
    <x v="1"/>
    <s v="Married"/>
    <x v="0"/>
    <x v="129"/>
    <n v="27"/>
    <d v="2012-04-07T00:00:00"/>
    <x v="7"/>
    <s v="relocation out of area"/>
    <x v="1"/>
    <x v="0"/>
    <x v="0"/>
    <x v="1"/>
    <x v="1"/>
    <n v="3.03"/>
    <n v="5"/>
    <n v="0"/>
    <x v="74"/>
    <n v="0"/>
    <n v="16"/>
  </r>
  <r>
    <x v="130"/>
    <x v="130"/>
    <x v="129"/>
    <s v="Database Administrator"/>
    <s v="MA"/>
    <n v="2493"/>
    <d v="1984-02-21T00:00:00"/>
    <x v="1"/>
    <s v="Single"/>
    <x v="0"/>
    <x v="130"/>
    <n v="27"/>
    <m/>
    <x v="0"/>
    <s v="N/A-StillEmployed"/>
    <x v="0"/>
    <x v="1"/>
    <x v="1"/>
    <x v="1"/>
    <x v="1"/>
    <n v="4.4800000000000004"/>
    <n v="5"/>
    <n v="6"/>
    <x v="3"/>
    <n v="0"/>
    <n v="4"/>
  </r>
  <r>
    <x v="131"/>
    <x v="131"/>
    <x v="130"/>
    <s v="Director of Sales"/>
    <s v="RI"/>
    <n v="2908"/>
    <d v="1966-03-17T00:00:00"/>
    <x v="1"/>
    <s v="Married"/>
    <x v="0"/>
    <x v="131"/>
    <n v="45"/>
    <m/>
    <x v="0"/>
    <s v="N/A-StillEmployed"/>
    <x v="0"/>
    <x v="4"/>
    <x v="13"/>
    <x v="0"/>
    <x v="1"/>
    <n v="4.5"/>
    <n v="4"/>
    <n v="0"/>
    <x v="26"/>
    <n v="0"/>
    <n v="19"/>
  </r>
  <r>
    <x v="132"/>
    <x v="132"/>
    <x v="131"/>
    <s v="Administrative Assistant"/>
    <s v="MA"/>
    <n v="2170"/>
    <d v="1985-09-16T00:00:00"/>
    <x v="1"/>
    <s v="Married"/>
    <x v="1"/>
    <x v="132"/>
    <n v="26"/>
    <d v="2015-04-15T00:00:00"/>
    <x v="6"/>
    <s v="no-call, no-show"/>
    <x v="2"/>
    <x v="3"/>
    <x v="12"/>
    <x v="1"/>
    <x v="1"/>
    <n v="3.24"/>
    <n v="3"/>
    <n v="4"/>
    <x v="75"/>
    <n v="0"/>
    <n v="6"/>
  </r>
  <r>
    <x v="133"/>
    <x v="133"/>
    <x v="132"/>
    <s v="Production Technician I"/>
    <s v="MA"/>
    <n v="2176"/>
    <d v="1986-06-10T00:00:00"/>
    <x v="1"/>
    <s v="Single"/>
    <x v="0"/>
    <x v="133"/>
    <n v="25"/>
    <m/>
    <x v="0"/>
    <s v="N/A-StillEmployed"/>
    <x v="0"/>
    <x v="0"/>
    <x v="7"/>
    <x v="0"/>
    <x v="1"/>
    <n v="4.8"/>
    <n v="4"/>
    <n v="0"/>
    <x v="5"/>
    <n v="0"/>
    <n v="4"/>
  </r>
  <r>
    <x v="134"/>
    <x v="134"/>
    <x v="133"/>
    <s v="Production Technician II"/>
    <s v="MA"/>
    <n v="2021"/>
    <d v="1984-03-11T00:00:00"/>
    <x v="1"/>
    <s v="Single"/>
    <x v="0"/>
    <x v="134"/>
    <n v="27"/>
    <m/>
    <x v="0"/>
    <s v="N/A-StillEmployed"/>
    <x v="0"/>
    <x v="0"/>
    <x v="3"/>
    <x v="0"/>
    <x v="1"/>
    <n v="3"/>
    <n v="5"/>
    <n v="0"/>
    <x v="48"/>
    <n v="0"/>
    <n v="4"/>
  </r>
  <r>
    <x v="135"/>
    <x v="135"/>
    <x v="134"/>
    <s v="Production Technician II"/>
    <s v="MA"/>
    <n v="2351"/>
    <d v="1992-05-07T00:00:00"/>
    <x v="1"/>
    <s v="Separated"/>
    <x v="0"/>
    <x v="135"/>
    <n v="19"/>
    <m/>
    <x v="0"/>
    <s v="N/A-StillEmployed"/>
    <x v="0"/>
    <x v="0"/>
    <x v="4"/>
    <x v="1"/>
    <x v="1"/>
    <n v="4.5"/>
    <n v="3"/>
    <n v="0"/>
    <x v="12"/>
    <n v="0"/>
    <n v="6"/>
  </r>
  <r>
    <x v="136"/>
    <x v="136"/>
    <x v="135"/>
    <s v="Production Technician II"/>
    <s v="MA"/>
    <n v="1742"/>
    <d v="1976-09-22T00:00:00"/>
    <x v="1"/>
    <s v="Divorced"/>
    <x v="0"/>
    <x v="136"/>
    <n v="35"/>
    <d v="2013-04-01T00:00:00"/>
    <x v="2"/>
    <s v="unhappy"/>
    <x v="1"/>
    <x v="0"/>
    <x v="5"/>
    <x v="2"/>
    <x v="1"/>
    <n v="3.72"/>
    <n v="3"/>
    <n v="0"/>
    <x v="69"/>
    <n v="0"/>
    <n v="18"/>
  </r>
  <r>
    <x v="137"/>
    <x v="137"/>
    <x v="136"/>
    <s v="Production Manager"/>
    <s v="MA"/>
    <n v="2128"/>
    <d v="1976-11-15T00:00:00"/>
    <x v="0"/>
    <s v="Married"/>
    <x v="3"/>
    <x v="137"/>
    <n v="35"/>
    <d v="2012-09-24T00:00:00"/>
    <x v="7"/>
    <s v="unhappy"/>
    <x v="1"/>
    <x v="0"/>
    <x v="13"/>
    <x v="1"/>
    <x v="2"/>
    <n v="2.34"/>
    <n v="2"/>
    <n v="0"/>
    <x v="76"/>
    <n v="3"/>
    <n v="4"/>
  </r>
  <r>
    <x v="138"/>
    <x v="138"/>
    <x v="137"/>
    <s v="Production Technician I"/>
    <s v="MA"/>
    <n v="1775"/>
    <d v="1991-01-28T00:00:00"/>
    <x v="1"/>
    <s v="Single"/>
    <x v="0"/>
    <x v="138"/>
    <n v="20"/>
    <m/>
    <x v="0"/>
    <s v="N/A-StillEmployed"/>
    <x v="0"/>
    <x v="0"/>
    <x v="8"/>
    <x v="1"/>
    <x v="1"/>
    <n v="3.99"/>
    <n v="3"/>
    <n v="0"/>
    <x v="15"/>
    <n v="0"/>
    <n v="14"/>
  </r>
  <r>
    <x v="139"/>
    <x v="139"/>
    <x v="112"/>
    <s v="Production Technician I"/>
    <s v="MA"/>
    <n v="2081"/>
    <d v="1972-09-11T00:00:00"/>
    <x v="1"/>
    <s v="Single"/>
    <x v="1"/>
    <x v="139"/>
    <n v="39"/>
    <m/>
    <x v="0"/>
    <s v="N/A-StillEmployed"/>
    <x v="0"/>
    <x v="0"/>
    <x v="10"/>
    <x v="0"/>
    <x v="1"/>
    <n v="4.0999999999999996"/>
    <n v="3"/>
    <n v="0"/>
    <x v="0"/>
    <n v="0"/>
    <n v="7"/>
  </r>
  <r>
    <x v="140"/>
    <x v="140"/>
    <x v="138"/>
    <s v="Production Technician I"/>
    <s v="MA"/>
    <n v="1778"/>
    <d v="1966-03-22T00:00:00"/>
    <x v="1"/>
    <s v="Divorced"/>
    <x v="0"/>
    <x v="140"/>
    <n v="45"/>
    <m/>
    <x v="0"/>
    <s v="N/A-StillEmployed"/>
    <x v="0"/>
    <x v="0"/>
    <x v="2"/>
    <x v="3"/>
    <x v="1"/>
    <n v="4.3"/>
    <n v="5"/>
    <n v="0"/>
    <x v="29"/>
    <n v="0"/>
    <n v="7"/>
  </r>
  <r>
    <x v="141"/>
    <x v="141"/>
    <x v="139"/>
    <s v="Production Technician II"/>
    <s v="MA"/>
    <n v="1821"/>
    <d v="1986-11-06T00:00:00"/>
    <x v="1"/>
    <s v="Divorced"/>
    <x v="4"/>
    <x v="141"/>
    <n v="25"/>
    <m/>
    <x v="0"/>
    <s v="N/A-StillEmployed"/>
    <x v="0"/>
    <x v="0"/>
    <x v="7"/>
    <x v="0"/>
    <x v="0"/>
    <n v="4.5999999999999996"/>
    <n v="4"/>
    <n v="0"/>
    <x v="7"/>
    <n v="0"/>
    <n v="11"/>
  </r>
  <r>
    <x v="142"/>
    <x v="142"/>
    <x v="140"/>
    <s v="Production Technician I"/>
    <s v="MA"/>
    <n v="2109"/>
    <d v="1964-04-13T00:00:00"/>
    <x v="1"/>
    <s v="Separated"/>
    <x v="0"/>
    <x v="142"/>
    <n v="47"/>
    <m/>
    <x v="0"/>
    <s v="N/A-StillEmployed"/>
    <x v="0"/>
    <x v="0"/>
    <x v="11"/>
    <x v="0"/>
    <x v="1"/>
    <n v="5"/>
    <n v="5"/>
    <n v="0"/>
    <x v="26"/>
    <n v="0"/>
    <n v="9"/>
  </r>
  <r>
    <x v="143"/>
    <x v="143"/>
    <x v="141"/>
    <s v="Production Technician I"/>
    <s v="MA"/>
    <n v="2445"/>
    <d v="1959-08-19T00:00:00"/>
    <x v="0"/>
    <s v="Married"/>
    <x v="0"/>
    <x v="143"/>
    <n v="52"/>
    <d v="2018-04-29T00:00:00"/>
    <x v="4"/>
    <s v="more money"/>
    <x v="1"/>
    <x v="0"/>
    <x v="0"/>
    <x v="6"/>
    <x v="0"/>
    <n v="4.7"/>
    <n v="4"/>
    <n v="0"/>
    <x v="77"/>
    <n v="0"/>
    <n v="9"/>
  </r>
  <r>
    <x v="144"/>
    <x v="144"/>
    <x v="142"/>
    <s v="Database Administrator"/>
    <s v="MA"/>
    <n v="2301"/>
    <d v="1986-11-07T00:00:00"/>
    <x v="1"/>
    <s v="Married"/>
    <x v="3"/>
    <x v="144"/>
    <n v="25"/>
    <m/>
    <x v="0"/>
    <s v="N/A-StillEmployed"/>
    <x v="0"/>
    <x v="1"/>
    <x v="1"/>
    <x v="1"/>
    <x v="1"/>
    <n v="3.75"/>
    <n v="3"/>
    <n v="5"/>
    <x v="72"/>
    <n v="0"/>
    <n v="2"/>
  </r>
  <r>
    <x v="145"/>
    <x v="145"/>
    <x v="143"/>
    <s v="Production Technician II"/>
    <s v="MA"/>
    <n v="2128"/>
    <d v="1969-09-08T00:00:00"/>
    <x v="1"/>
    <s v="Single"/>
    <x v="0"/>
    <x v="145"/>
    <n v="42"/>
    <m/>
    <x v="0"/>
    <s v="N/A-StillEmployed"/>
    <x v="0"/>
    <x v="0"/>
    <x v="8"/>
    <x v="0"/>
    <x v="0"/>
    <n v="4.3"/>
    <n v="3"/>
    <n v="0"/>
    <x v="17"/>
    <n v="0"/>
    <n v="1"/>
  </r>
  <r>
    <x v="146"/>
    <x v="146"/>
    <x v="144"/>
    <s v="Production Technician I"/>
    <s v="MA"/>
    <n v="2446"/>
    <d v="1986-04-17T00:00:00"/>
    <x v="1"/>
    <s v="Married"/>
    <x v="1"/>
    <x v="146"/>
    <n v="25"/>
    <d v="2016-04-01T00:00:00"/>
    <x v="1"/>
    <s v="unhappy"/>
    <x v="1"/>
    <x v="0"/>
    <x v="3"/>
    <x v="6"/>
    <x v="1"/>
    <n v="4"/>
    <n v="4"/>
    <n v="0"/>
    <x v="78"/>
    <n v="0"/>
    <n v="4"/>
  </r>
  <r>
    <x v="147"/>
    <x v="147"/>
    <x v="145"/>
    <s v="Sales Manager"/>
    <s v="PA"/>
    <n v="19444"/>
    <d v="1989-11-11T00:00:00"/>
    <x v="1"/>
    <s v="Single"/>
    <x v="0"/>
    <x v="147"/>
    <n v="22"/>
    <d v="2014-04-24T00:00:00"/>
    <x v="5"/>
    <s v="maternity leave - did not return"/>
    <x v="1"/>
    <x v="4"/>
    <x v="18"/>
    <x v="2"/>
    <x v="1"/>
    <n v="4.5"/>
    <n v="5"/>
    <n v="0"/>
    <x v="79"/>
    <n v="0"/>
    <n v="2"/>
  </r>
  <r>
    <x v="148"/>
    <x v="148"/>
    <x v="146"/>
    <s v="Production Technician I"/>
    <s v="MA"/>
    <n v="1887"/>
    <d v="1976-01-19T00:00:00"/>
    <x v="0"/>
    <s v="Single"/>
    <x v="0"/>
    <x v="148"/>
    <n v="35"/>
    <m/>
    <x v="0"/>
    <s v="N/A-StillEmployed"/>
    <x v="0"/>
    <x v="0"/>
    <x v="0"/>
    <x v="1"/>
    <x v="1"/>
    <n v="3.07"/>
    <n v="4"/>
    <n v="0"/>
    <x v="46"/>
    <n v="0"/>
    <n v="10"/>
  </r>
  <r>
    <x v="149"/>
    <x v="149"/>
    <x v="147"/>
    <s v="Area Sales Manager"/>
    <s v="CO"/>
    <n v="80820"/>
    <d v="1979-11-27T00:00:00"/>
    <x v="0"/>
    <s v="Single"/>
    <x v="0"/>
    <x v="149"/>
    <n v="32"/>
    <m/>
    <x v="0"/>
    <s v="N/A-StillEmployed"/>
    <x v="0"/>
    <x v="4"/>
    <x v="16"/>
    <x v="1"/>
    <x v="1"/>
    <n v="4.3"/>
    <n v="5"/>
    <n v="0"/>
    <x v="40"/>
    <n v="0"/>
    <n v="13"/>
  </r>
  <r>
    <x v="150"/>
    <x v="150"/>
    <x v="148"/>
    <s v="President &amp; CEO"/>
    <s v="MA"/>
    <n v="1902"/>
    <d v="1954-09-21T00:00:00"/>
    <x v="1"/>
    <s v="Married"/>
    <x v="0"/>
    <x v="150"/>
    <n v="57"/>
    <m/>
    <x v="0"/>
    <s v="N/A-StillEmployed"/>
    <x v="0"/>
    <x v="5"/>
    <x v="20"/>
    <x v="1"/>
    <x v="1"/>
    <n v="4.83"/>
    <n v="3"/>
    <n v="0"/>
    <x v="0"/>
    <n v="0"/>
    <n v="10"/>
  </r>
  <r>
    <x v="151"/>
    <x v="151"/>
    <x v="149"/>
    <s v="Production Technician I"/>
    <s v="MA"/>
    <n v="2170"/>
    <d v="1973-12-08T00:00:00"/>
    <x v="1"/>
    <s v="Married"/>
    <x v="0"/>
    <x v="151"/>
    <n v="37"/>
    <d v="2015-06-04T00:00:00"/>
    <x v="6"/>
    <s v="more money"/>
    <x v="1"/>
    <x v="0"/>
    <x v="4"/>
    <x v="2"/>
    <x v="1"/>
    <n v="3.6"/>
    <n v="5"/>
    <n v="0"/>
    <x v="80"/>
    <n v="0"/>
    <n v="16"/>
  </r>
  <r>
    <x v="152"/>
    <x v="152"/>
    <x v="150"/>
    <s v="Production Technician I"/>
    <s v="MA"/>
    <n v="2127"/>
    <d v="1970-10-08T00:00:00"/>
    <x v="1"/>
    <s v="Married"/>
    <x v="0"/>
    <x v="152"/>
    <n v="41"/>
    <d v="2014-01-09T00:00:00"/>
    <x v="5"/>
    <s v="more money"/>
    <x v="1"/>
    <x v="0"/>
    <x v="5"/>
    <x v="2"/>
    <x v="1"/>
    <n v="3.49"/>
    <n v="4"/>
    <n v="0"/>
    <x v="73"/>
    <n v="0"/>
    <n v="6"/>
  </r>
  <r>
    <x v="153"/>
    <x v="153"/>
    <x v="151"/>
    <s v="Production Technician I"/>
    <s v="MA"/>
    <n v="1721"/>
    <d v="1977-11-10T00:00:00"/>
    <x v="0"/>
    <s v="Single"/>
    <x v="1"/>
    <x v="153"/>
    <n v="34"/>
    <m/>
    <x v="0"/>
    <s v="N/A-StillEmployed"/>
    <x v="0"/>
    <x v="0"/>
    <x v="7"/>
    <x v="0"/>
    <x v="1"/>
    <n v="3.1"/>
    <n v="3"/>
    <n v="0"/>
    <x v="81"/>
    <n v="0"/>
    <n v="3"/>
  </r>
  <r>
    <x v="154"/>
    <x v="154"/>
    <x v="152"/>
    <s v="Production Technician I"/>
    <s v="MA"/>
    <n v="1801"/>
    <d v="1980-02-02T00:00:00"/>
    <x v="0"/>
    <s v="Married"/>
    <x v="3"/>
    <x v="154"/>
    <n v="31"/>
    <m/>
    <x v="0"/>
    <s v="N/A-StillEmployed"/>
    <x v="0"/>
    <x v="0"/>
    <x v="8"/>
    <x v="1"/>
    <x v="1"/>
    <n v="3.38"/>
    <n v="3"/>
    <n v="0"/>
    <x v="26"/>
    <n v="0"/>
    <n v="17"/>
  </r>
  <r>
    <x v="155"/>
    <x v="155"/>
    <x v="153"/>
    <s v="Area Sales Manager"/>
    <s v="NY"/>
    <n v="10171"/>
    <d v="1969-02-24T00:00:00"/>
    <x v="0"/>
    <s v="Single"/>
    <x v="1"/>
    <x v="155"/>
    <n v="42"/>
    <m/>
    <x v="0"/>
    <s v="N/A-StillEmployed"/>
    <x v="0"/>
    <x v="4"/>
    <x v="14"/>
    <x v="4"/>
    <x v="1"/>
    <n v="3.65"/>
    <n v="5"/>
    <n v="0"/>
    <x v="0"/>
    <n v="0"/>
    <n v="20"/>
  </r>
  <r>
    <x v="156"/>
    <x v="156"/>
    <x v="154"/>
    <s v="Sr. Network Engineer"/>
    <s v="MA"/>
    <n v="2169"/>
    <d v="1986-04-23T00:00:00"/>
    <x v="0"/>
    <s v="Married"/>
    <x v="0"/>
    <x v="156"/>
    <n v="25"/>
    <m/>
    <x v="0"/>
    <s v="N/A-StillEmployed"/>
    <x v="0"/>
    <x v="1"/>
    <x v="9"/>
    <x v="3"/>
    <x v="1"/>
    <n v="4.46"/>
    <n v="5"/>
    <n v="6"/>
    <x v="5"/>
    <n v="0"/>
    <n v="7"/>
  </r>
  <r>
    <x v="157"/>
    <x v="157"/>
    <x v="155"/>
    <s v="Production Manager"/>
    <s v="MA"/>
    <n v="1890"/>
    <d v="1972-07-01T00:00:00"/>
    <x v="0"/>
    <s v="Married"/>
    <x v="0"/>
    <x v="157"/>
    <n v="39"/>
    <d v="2015-12-12T00:00:00"/>
    <x v="1"/>
    <s v="attendance"/>
    <x v="2"/>
    <x v="0"/>
    <x v="13"/>
    <x v="3"/>
    <x v="1"/>
    <n v="4.78"/>
    <n v="4"/>
    <n v="0"/>
    <x v="82"/>
    <n v="0"/>
    <n v="9"/>
  </r>
  <r>
    <x v="158"/>
    <x v="158"/>
    <x v="156"/>
    <s v="Production Technician II"/>
    <s v="MA"/>
    <n v="2090"/>
    <d v="1979-07-25T00:00:00"/>
    <x v="1"/>
    <s v="Divorced"/>
    <x v="3"/>
    <x v="158"/>
    <n v="32"/>
    <d v="2014-03-31T00:00:00"/>
    <x v="5"/>
    <s v="Another position"/>
    <x v="1"/>
    <x v="0"/>
    <x v="10"/>
    <x v="1"/>
    <x v="1"/>
    <n v="4.5199999999999996"/>
    <n v="3"/>
    <n v="0"/>
    <x v="22"/>
    <n v="0"/>
    <n v="20"/>
  </r>
  <r>
    <x v="159"/>
    <x v="159"/>
    <x v="157"/>
    <s v="Production Technician I"/>
    <s v="MA"/>
    <n v="2048"/>
    <d v="1986-12-09T00:00:00"/>
    <x v="0"/>
    <s v="Married"/>
    <x v="0"/>
    <x v="159"/>
    <n v="25"/>
    <m/>
    <x v="0"/>
    <s v="N/A-StillEmployed"/>
    <x v="0"/>
    <x v="0"/>
    <x v="10"/>
    <x v="0"/>
    <x v="1"/>
    <n v="5"/>
    <n v="5"/>
    <n v="0"/>
    <x v="39"/>
    <n v="0"/>
    <n v="13"/>
  </r>
  <r>
    <x v="160"/>
    <x v="160"/>
    <x v="158"/>
    <s v="Accountant I"/>
    <s v="MA"/>
    <n v="1460"/>
    <d v="1984-04-26T00:00:00"/>
    <x v="0"/>
    <s v="Divorced"/>
    <x v="1"/>
    <x v="160"/>
    <n v="27"/>
    <m/>
    <x v="0"/>
    <s v="N/A-StillEmployed"/>
    <x v="0"/>
    <x v="3"/>
    <x v="12"/>
    <x v="7"/>
    <x v="1"/>
    <n v="5"/>
    <n v="4"/>
    <n v="4"/>
    <x v="0"/>
    <n v="0"/>
    <n v="3"/>
  </r>
  <r>
    <x v="161"/>
    <x v="161"/>
    <x v="159"/>
    <s v="Production Technician II"/>
    <s v="MA"/>
    <n v="2126"/>
    <d v="1984-05-09T00:00:00"/>
    <x v="0"/>
    <s v="Married"/>
    <x v="0"/>
    <x v="161"/>
    <n v="27"/>
    <d v="2013-04-15T00:00:00"/>
    <x v="2"/>
    <s v="more money"/>
    <x v="1"/>
    <x v="0"/>
    <x v="2"/>
    <x v="2"/>
    <x v="1"/>
    <n v="4.9000000000000004"/>
    <n v="3"/>
    <n v="0"/>
    <x v="83"/>
    <n v="0"/>
    <n v="20"/>
  </r>
  <r>
    <x v="162"/>
    <x v="162"/>
    <x v="160"/>
    <s v="Senior BI Developer"/>
    <s v="MA"/>
    <n v="1886"/>
    <d v="1987-06-14T00:00:00"/>
    <x v="1"/>
    <s v="Single"/>
    <x v="3"/>
    <x v="162"/>
    <n v="24"/>
    <m/>
    <x v="0"/>
    <s v="N/A-StillEmployed"/>
    <x v="0"/>
    <x v="1"/>
    <x v="19"/>
    <x v="1"/>
    <x v="1"/>
    <n v="4.0999999999999996"/>
    <n v="5"/>
    <n v="7"/>
    <x v="70"/>
    <n v="0"/>
    <n v="2"/>
  </r>
  <r>
    <x v="163"/>
    <x v="163"/>
    <x v="161"/>
    <s v="Production Technician I"/>
    <s v="MA"/>
    <n v="1810"/>
    <d v="1979-01-17T00:00:00"/>
    <x v="1"/>
    <s v="Single"/>
    <x v="3"/>
    <x v="163"/>
    <n v="32"/>
    <d v="2018-08-19T00:00:00"/>
    <x v="4"/>
    <s v="return to school"/>
    <x v="1"/>
    <x v="0"/>
    <x v="2"/>
    <x v="6"/>
    <x v="1"/>
    <n v="4.88"/>
    <n v="3"/>
    <n v="0"/>
    <x v="84"/>
    <n v="0"/>
    <n v="17"/>
  </r>
  <r>
    <x v="164"/>
    <x v="164"/>
    <x v="162"/>
    <s v="Shared Services Manager"/>
    <s v="MA"/>
    <n v="1460"/>
    <d v="1984-06-10T00:00:00"/>
    <x v="0"/>
    <s v="Married"/>
    <x v="0"/>
    <x v="164"/>
    <n v="27"/>
    <m/>
    <x v="0"/>
    <s v="N/A-StillEmployed"/>
    <x v="0"/>
    <x v="3"/>
    <x v="13"/>
    <x v="6"/>
    <x v="1"/>
    <n v="4.0999999999999996"/>
    <n v="4"/>
    <n v="0"/>
    <x v="41"/>
    <n v="0"/>
    <n v="20"/>
  </r>
  <r>
    <x v="165"/>
    <x v="165"/>
    <x v="163"/>
    <s v="Production Technician I"/>
    <s v="MA"/>
    <n v="1776"/>
    <d v="1982-09-02T00:00:00"/>
    <x v="0"/>
    <s v="Married"/>
    <x v="3"/>
    <x v="165"/>
    <n v="29"/>
    <m/>
    <x v="0"/>
    <s v="N/A-StillEmployed"/>
    <x v="0"/>
    <x v="0"/>
    <x v="3"/>
    <x v="2"/>
    <x v="1"/>
    <n v="4.0999999999999996"/>
    <n v="3"/>
    <n v="0"/>
    <x v="29"/>
    <n v="0"/>
    <n v="10"/>
  </r>
  <r>
    <x v="166"/>
    <x v="166"/>
    <x v="164"/>
    <s v="Area Sales Manager"/>
    <s v="UT"/>
    <n v="84111"/>
    <d v="1988-12-27T00:00:00"/>
    <x v="0"/>
    <s v="Separated"/>
    <x v="1"/>
    <x v="166"/>
    <n v="22"/>
    <m/>
    <x v="0"/>
    <s v="N/A-StillEmployed"/>
    <x v="0"/>
    <x v="4"/>
    <x v="14"/>
    <x v="7"/>
    <x v="1"/>
    <n v="4.53"/>
    <n v="3"/>
    <n v="0"/>
    <x v="47"/>
    <n v="0"/>
    <n v="16"/>
  </r>
  <r>
    <x v="167"/>
    <x v="167"/>
    <x v="165"/>
    <s v="Production Manager"/>
    <s v="MA"/>
    <n v="2110"/>
    <d v="1981-10-26T00:00:00"/>
    <x v="1"/>
    <s v="Married"/>
    <x v="0"/>
    <x v="167"/>
    <n v="30"/>
    <m/>
    <x v="0"/>
    <s v="N/A-StillEmployed"/>
    <x v="0"/>
    <x v="0"/>
    <x v="13"/>
    <x v="7"/>
    <x v="0"/>
    <n v="4.0999999999999996"/>
    <n v="3"/>
    <n v="0"/>
    <x v="26"/>
    <n v="0"/>
    <n v="11"/>
  </r>
  <r>
    <x v="168"/>
    <x v="168"/>
    <x v="166"/>
    <s v="Production Technician I"/>
    <s v="MA"/>
    <n v="1886"/>
    <d v="1981-03-26T00:00:00"/>
    <x v="1"/>
    <s v="Married"/>
    <x v="0"/>
    <x v="168"/>
    <n v="30"/>
    <d v="2018-09-26T00:00:00"/>
    <x v="4"/>
    <s v="unhappy"/>
    <x v="1"/>
    <x v="0"/>
    <x v="0"/>
    <x v="1"/>
    <x v="1"/>
    <n v="3.18"/>
    <n v="4"/>
    <n v="0"/>
    <x v="85"/>
    <n v="0"/>
    <n v="16"/>
  </r>
  <r>
    <x v="169"/>
    <x v="169"/>
    <x v="167"/>
    <s v="Production Technician II"/>
    <s v="MA"/>
    <n v="1770"/>
    <d v="1979-03-19T00:00:00"/>
    <x v="0"/>
    <s v="Married"/>
    <x v="0"/>
    <x v="169"/>
    <n v="32"/>
    <m/>
    <x v="0"/>
    <s v="N/A-StillEmployed"/>
    <x v="0"/>
    <x v="0"/>
    <x v="11"/>
    <x v="0"/>
    <x v="1"/>
    <n v="4"/>
    <n v="3"/>
    <n v="0"/>
    <x v="9"/>
    <n v="0"/>
    <n v="7"/>
  </r>
  <r>
    <x v="170"/>
    <x v="170"/>
    <x v="168"/>
    <s v="IT Support"/>
    <s v="CT"/>
    <n v="6070"/>
    <d v="1988-10-05T00:00:00"/>
    <x v="1"/>
    <s v="Single"/>
    <x v="1"/>
    <x v="170"/>
    <n v="23"/>
    <m/>
    <x v="0"/>
    <s v="N/A-StillEmployed"/>
    <x v="0"/>
    <x v="1"/>
    <x v="17"/>
    <x v="4"/>
    <x v="0"/>
    <n v="4.6399999999999997"/>
    <n v="4"/>
    <n v="5"/>
    <x v="8"/>
    <n v="0"/>
    <n v="14"/>
  </r>
  <r>
    <x v="171"/>
    <x v="171"/>
    <x v="169"/>
    <s v="Production Technician II"/>
    <s v="MA"/>
    <n v="2122"/>
    <d v="1976-12-26T00:00:00"/>
    <x v="1"/>
    <s v="Widowed"/>
    <x v="0"/>
    <x v="171"/>
    <n v="34"/>
    <d v="2016-09-15T00:00:00"/>
    <x v="1"/>
    <s v="more money"/>
    <x v="1"/>
    <x v="0"/>
    <x v="0"/>
    <x v="0"/>
    <x v="1"/>
    <n v="4.6500000000000004"/>
    <n v="4"/>
    <n v="0"/>
    <x v="86"/>
    <n v="0"/>
    <n v="15"/>
  </r>
  <r>
    <x v="172"/>
    <x v="172"/>
    <x v="170"/>
    <s v="Production Technician II"/>
    <s v="MA"/>
    <n v="2324"/>
    <d v="1982-03-28T00:00:00"/>
    <x v="1"/>
    <s v="Single"/>
    <x v="1"/>
    <x v="172"/>
    <n v="29"/>
    <m/>
    <x v="0"/>
    <s v="N/A-StillEmployed"/>
    <x v="0"/>
    <x v="0"/>
    <x v="3"/>
    <x v="1"/>
    <x v="0"/>
    <n v="4.2"/>
    <n v="4"/>
    <n v="0"/>
    <x v="31"/>
    <n v="0"/>
    <n v="19"/>
  </r>
  <r>
    <x v="173"/>
    <x v="173"/>
    <x v="171"/>
    <s v="Production Technician I"/>
    <s v="MA"/>
    <n v="2122"/>
    <d v="1975-10-22T00:00:00"/>
    <x v="1"/>
    <s v="Married"/>
    <x v="1"/>
    <x v="173"/>
    <n v="36"/>
    <m/>
    <x v="0"/>
    <s v="N/A-StillEmployed"/>
    <x v="0"/>
    <x v="0"/>
    <x v="3"/>
    <x v="7"/>
    <x v="1"/>
    <n v="5"/>
    <n v="3"/>
    <n v="0"/>
    <x v="46"/>
    <n v="0"/>
    <n v="6"/>
  </r>
  <r>
    <x v="174"/>
    <x v="174"/>
    <x v="172"/>
    <s v="Production Technician I"/>
    <s v="MA"/>
    <n v="1844"/>
    <d v="1973-02-14T00:00:00"/>
    <x v="1"/>
    <s v="Single"/>
    <x v="1"/>
    <x v="174"/>
    <n v="38"/>
    <d v="2015-11-14T00:00:00"/>
    <x v="6"/>
    <s v="Another position"/>
    <x v="1"/>
    <x v="0"/>
    <x v="4"/>
    <x v="4"/>
    <x v="0"/>
    <n v="5"/>
    <n v="4"/>
    <n v="0"/>
    <x v="87"/>
    <n v="0"/>
    <n v="17"/>
  </r>
  <r>
    <x v="175"/>
    <x v="175"/>
    <x v="173"/>
    <s v="Production Technician I"/>
    <s v="MA"/>
    <n v="1938"/>
    <d v="1972-11-09T00:00:00"/>
    <x v="0"/>
    <s v="Widowed"/>
    <x v="0"/>
    <x v="175"/>
    <n v="39"/>
    <d v="2017-09-26T00:00:00"/>
    <x v="3"/>
    <s v="hours"/>
    <x v="1"/>
    <x v="0"/>
    <x v="5"/>
    <x v="1"/>
    <x v="1"/>
    <n v="3.08"/>
    <n v="4"/>
    <n v="0"/>
    <x v="88"/>
    <n v="0"/>
    <n v="18"/>
  </r>
  <r>
    <x v="176"/>
    <x v="176"/>
    <x v="174"/>
    <s v="Production Technician I"/>
    <s v="MA"/>
    <n v="2189"/>
    <d v="1986-07-07T00:00:00"/>
    <x v="1"/>
    <s v="Single"/>
    <x v="0"/>
    <x v="176"/>
    <n v="25"/>
    <m/>
    <x v="0"/>
    <s v="N/A-StillEmployed"/>
    <x v="0"/>
    <x v="0"/>
    <x v="7"/>
    <x v="0"/>
    <x v="1"/>
    <n v="4.5999999999999996"/>
    <n v="4"/>
    <n v="0"/>
    <x v="60"/>
    <n v="0"/>
    <n v="14"/>
  </r>
  <r>
    <x v="177"/>
    <x v="177"/>
    <x v="175"/>
    <s v="Production Technician II"/>
    <s v="MA"/>
    <n v="2324"/>
    <d v="1976-08-25T00:00:00"/>
    <x v="1"/>
    <s v="Married"/>
    <x v="0"/>
    <x v="177"/>
    <n v="35"/>
    <m/>
    <x v="0"/>
    <s v="N/A-StillEmployed"/>
    <x v="0"/>
    <x v="0"/>
    <x v="4"/>
    <x v="0"/>
    <x v="1"/>
    <n v="5"/>
    <n v="3"/>
    <n v="0"/>
    <x v="26"/>
    <n v="0"/>
    <n v="4"/>
  </r>
  <r>
    <x v="178"/>
    <x v="178"/>
    <x v="176"/>
    <s v="Production Technician II"/>
    <s v="MA"/>
    <n v="2176"/>
    <d v="1986-12-10T00:00:00"/>
    <x v="1"/>
    <s v="Married"/>
    <x v="2"/>
    <x v="178"/>
    <n v="25"/>
    <d v="2012-08-19T00:00:00"/>
    <x v="7"/>
    <s v="Another position"/>
    <x v="1"/>
    <x v="0"/>
    <x v="5"/>
    <x v="0"/>
    <x v="1"/>
    <n v="5"/>
    <n v="4"/>
    <n v="0"/>
    <x v="89"/>
    <n v="0"/>
    <n v="16"/>
  </r>
  <r>
    <x v="179"/>
    <x v="179"/>
    <x v="177"/>
    <s v="Production Technician I"/>
    <s v="MA"/>
    <n v="2451"/>
    <d v="1974-11-07T00:00:00"/>
    <x v="1"/>
    <s v="Married"/>
    <x v="0"/>
    <x v="179"/>
    <n v="37"/>
    <m/>
    <x v="0"/>
    <s v="N/A-StillEmployed"/>
    <x v="0"/>
    <x v="0"/>
    <x v="8"/>
    <x v="0"/>
    <x v="1"/>
    <n v="4.0999999999999996"/>
    <n v="3"/>
    <n v="0"/>
    <x v="40"/>
    <n v="0"/>
    <n v="11"/>
  </r>
  <r>
    <x v="180"/>
    <x v="180"/>
    <x v="178"/>
    <s v="Software Engineer"/>
    <s v="MA"/>
    <n v="2135"/>
    <d v="1987-11-07T00:00:00"/>
    <x v="1"/>
    <s v="Single"/>
    <x v="3"/>
    <x v="180"/>
    <n v="24"/>
    <m/>
    <x v="0"/>
    <s v="N/A-StillEmployed"/>
    <x v="0"/>
    <x v="2"/>
    <x v="6"/>
    <x v="2"/>
    <x v="1"/>
    <n v="4.5"/>
    <n v="5"/>
    <n v="4"/>
    <x v="15"/>
    <n v="0"/>
    <n v="14"/>
  </r>
  <r>
    <x v="181"/>
    <x v="181"/>
    <x v="179"/>
    <s v="Production Technician I"/>
    <s v="MA"/>
    <n v="2330"/>
    <d v="1977-11-22T00:00:00"/>
    <x v="1"/>
    <s v="Married"/>
    <x v="0"/>
    <x v="181"/>
    <n v="34"/>
    <m/>
    <x v="0"/>
    <s v="N/A-StillEmployed"/>
    <x v="0"/>
    <x v="0"/>
    <x v="10"/>
    <x v="1"/>
    <x v="1"/>
    <n v="5"/>
    <n v="4"/>
    <n v="0"/>
    <x v="18"/>
    <n v="0"/>
    <n v="8"/>
  </r>
  <r>
    <x v="182"/>
    <x v="182"/>
    <x v="180"/>
    <s v="Production Technician II"/>
    <s v="MA"/>
    <n v="2149"/>
    <d v="1987-05-21T00:00:00"/>
    <x v="1"/>
    <s v="Single"/>
    <x v="1"/>
    <x v="182"/>
    <n v="24"/>
    <m/>
    <x v="0"/>
    <s v="N/A-StillEmployed"/>
    <x v="0"/>
    <x v="0"/>
    <x v="7"/>
    <x v="0"/>
    <x v="1"/>
    <n v="5"/>
    <n v="5"/>
    <n v="0"/>
    <x v="65"/>
    <n v="0"/>
    <n v="16"/>
  </r>
  <r>
    <x v="183"/>
    <x v="183"/>
    <x v="181"/>
    <s v="Production Technician I"/>
    <s v="MA"/>
    <n v="2184"/>
    <d v="1987-01-07T00:00:00"/>
    <x v="1"/>
    <s v="Married"/>
    <x v="1"/>
    <x v="183"/>
    <n v="24"/>
    <m/>
    <x v="0"/>
    <s v="N/A-StillEmployed"/>
    <x v="0"/>
    <x v="0"/>
    <x v="2"/>
    <x v="6"/>
    <x v="1"/>
    <n v="3.93"/>
    <n v="3"/>
    <n v="0"/>
    <x v="30"/>
    <n v="0"/>
    <n v="20"/>
  </r>
  <r>
    <x v="184"/>
    <x v="184"/>
    <x v="182"/>
    <s v="Area Sales Manager"/>
    <s v="TX"/>
    <n v="78789"/>
    <d v="1984-07-01T00:00:00"/>
    <x v="0"/>
    <s v="Married"/>
    <x v="2"/>
    <x v="184"/>
    <n v="27"/>
    <m/>
    <x v="0"/>
    <s v="N/A-StillEmployed"/>
    <x v="0"/>
    <x v="4"/>
    <x v="16"/>
    <x v="7"/>
    <x v="1"/>
    <n v="3.4"/>
    <n v="4"/>
    <n v="0"/>
    <x v="47"/>
    <n v="0"/>
    <n v="7"/>
  </r>
  <r>
    <x v="185"/>
    <x v="185"/>
    <x v="183"/>
    <s v="Production Technician I"/>
    <s v="MA"/>
    <n v="1760"/>
    <d v="1968-05-30T00:00:00"/>
    <x v="1"/>
    <s v="Single"/>
    <x v="1"/>
    <x v="185"/>
    <n v="43"/>
    <d v="2016-11-11T00:00:00"/>
    <x v="1"/>
    <s v="Another position"/>
    <x v="1"/>
    <x v="0"/>
    <x v="11"/>
    <x v="4"/>
    <x v="1"/>
    <n v="4.18"/>
    <n v="4"/>
    <n v="0"/>
    <x v="90"/>
    <n v="0"/>
    <n v="17"/>
  </r>
  <r>
    <x v="186"/>
    <x v="186"/>
    <x v="184"/>
    <s v="Production Technician I"/>
    <s v="MA"/>
    <n v="2346"/>
    <d v="1976-09-22T00:00:00"/>
    <x v="1"/>
    <s v="Single"/>
    <x v="0"/>
    <x v="186"/>
    <n v="35"/>
    <m/>
    <x v="0"/>
    <s v="N/A-StillEmployed"/>
    <x v="0"/>
    <x v="0"/>
    <x v="0"/>
    <x v="6"/>
    <x v="1"/>
    <n v="5"/>
    <n v="4"/>
    <n v="0"/>
    <x v="26"/>
    <n v="0"/>
    <n v="10"/>
  </r>
  <r>
    <x v="187"/>
    <x v="187"/>
    <x v="185"/>
    <s v="Production Manager"/>
    <s v="MA"/>
    <n v="2045"/>
    <d v="1981-08-10T00:00:00"/>
    <x v="0"/>
    <s v="Single"/>
    <x v="5"/>
    <x v="187"/>
    <n v="30"/>
    <m/>
    <x v="0"/>
    <s v="N/A-StillEmployed"/>
    <x v="0"/>
    <x v="0"/>
    <x v="13"/>
    <x v="1"/>
    <x v="1"/>
    <n v="4.37"/>
    <n v="3"/>
    <n v="0"/>
    <x v="15"/>
    <n v="0"/>
    <n v="2"/>
  </r>
  <r>
    <x v="188"/>
    <x v="188"/>
    <x v="186"/>
    <s v="Production Technician II"/>
    <s v="MA"/>
    <n v="2472"/>
    <d v="1985-06-29T00:00:00"/>
    <x v="0"/>
    <s v="Single"/>
    <x v="0"/>
    <x v="188"/>
    <n v="26"/>
    <d v="2014-09-04T00:00:00"/>
    <x v="5"/>
    <s v="unhappy"/>
    <x v="1"/>
    <x v="0"/>
    <x v="8"/>
    <x v="0"/>
    <x v="3"/>
    <n v="3"/>
    <n v="2"/>
    <n v="0"/>
    <x v="91"/>
    <n v="6"/>
    <n v="6"/>
  </r>
  <r>
    <x v="189"/>
    <x v="189"/>
    <x v="187"/>
    <s v="Production Technician II"/>
    <s v="MA"/>
    <n v="1450"/>
    <d v="1992-08-17T00:00:00"/>
    <x v="0"/>
    <s v="Married"/>
    <x v="0"/>
    <x v="189"/>
    <n v="19"/>
    <m/>
    <x v="0"/>
    <s v="N/A-StillEmployed"/>
    <x v="0"/>
    <x v="0"/>
    <x v="10"/>
    <x v="0"/>
    <x v="1"/>
    <n v="3.7"/>
    <n v="3"/>
    <n v="0"/>
    <x v="70"/>
    <n v="0"/>
    <n v="14"/>
  </r>
  <r>
    <x v="190"/>
    <x v="190"/>
    <x v="188"/>
    <s v="IT Manager - Infra"/>
    <s v="MA"/>
    <n v="2134"/>
    <d v="1986-10-05T00:00:00"/>
    <x v="0"/>
    <s v="Married"/>
    <x v="1"/>
    <x v="190"/>
    <n v="25"/>
    <m/>
    <x v="0"/>
    <s v="N/A-StillEmployed"/>
    <x v="0"/>
    <x v="1"/>
    <x v="15"/>
    <x v="4"/>
    <x v="2"/>
    <n v="2.39"/>
    <n v="3"/>
    <n v="6"/>
    <x v="29"/>
    <n v="4"/>
    <n v="13"/>
  </r>
  <r>
    <x v="191"/>
    <x v="191"/>
    <x v="189"/>
    <s v="Production Technician II"/>
    <s v="MA"/>
    <n v="2126"/>
    <d v="1970-04-24T00:00:00"/>
    <x v="1"/>
    <s v="Single"/>
    <x v="1"/>
    <x v="191"/>
    <n v="41"/>
    <m/>
    <x v="0"/>
    <s v="N/A-StillEmployed"/>
    <x v="0"/>
    <x v="0"/>
    <x v="2"/>
    <x v="1"/>
    <x v="0"/>
    <n v="4.7"/>
    <n v="3"/>
    <n v="0"/>
    <x v="15"/>
    <n v="0"/>
    <n v="1"/>
  </r>
  <r>
    <x v="192"/>
    <x v="192"/>
    <x v="190"/>
    <s v="Production Technician II"/>
    <s v="MA"/>
    <n v="2127"/>
    <d v="1976-12-03T00:00:00"/>
    <x v="0"/>
    <s v="Single"/>
    <x v="1"/>
    <x v="192"/>
    <n v="35"/>
    <m/>
    <x v="0"/>
    <s v="N/A-StillEmployed"/>
    <x v="0"/>
    <x v="0"/>
    <x v="11"/>
    <x v="4"/>
    <x v="1"/>
    <n v="4.0999999999999996"/>
    <n v="4"/>
    <n v="0"/>
    <x v="43"/>
    <n v="0"/>
    <n v="12"/>
  </r>
  <r>
    <x v="193"/>
    <x v="193"/>
    <x v="191"/>
    <s v="Network Engineer"/>
    <s v="MA"/>
    <n v="2048"/>
    <d v="1979-04-04T00:00:00"/>
    <x v="1"/>
    <s v="Married"/>
    <x v="0"/>
    <x v="193"/>
    <n v="32"/>
    <m/>
    <x v="0"/>
    <s v="N/A-StillEmployed"/>
    <x v="0"/>
    <x v="1"/>
    <x v="9"/>
    <x v="6"/>
    <x v="1"/>
    <n v="3.81"/>
    <n v="3"/>
    <n v="6"/>
    <x v="72"/>
    <n v="0"/>
    <n v="6"/>
  </r>
  <r>
    <x v="194"/>
    <x v="194"/>
    <x v="192"/>
    <s v="Production Technician I"/>
    <s v="MA"/>
    <n v="2453"/>
    <d v="1984-07-07T00:00:00"/>
    <x v="1"/>
    <s v="Divorced"/>
    <x v="0"/>
    <x v="194"/>
    <n v="27"/>
    <m/>
    <x v="0"/>
    <s v="N/A-StillEmployed"/>
    <x v="0"/>
    <x v="0"/>
    <x v="3"/>
    <x v="0"/>
    <x v="1"/>
    <n v="4.4000000000000004"/>
    <n v="4"/>
    <n v="0"/>
    <x v="0"/>
    <n v="0"/>
    <n v="18"/>
  </r>
  <r>
    <x v="195"/>
    <x v="195"/>
    <x v="193"/>
    <s v="Production Technician II"/>
    <s v="MA"/>
    <n v="1460"/>
    <d v="1974-12-01T00:00:00"/>
    <x v="0"/>
    <s v="Separated"/>
    <x v="1"/>
    <x v="195"/>
    <n v="37"/>
    <m/>
    <x v="0"/>
    <s v="N/A-StillEmployed"/>
    <x v="0"/>
    <x v="0"/>
    <x v="0"/>
    <x v="0"/>
    <x v="1"/>
    <n v="4.29"/>
    <n v="5"/>
    <n v="0"/>
    <x v="41"/>
    <n v="0"/>
    <n v="11"/>
  </r>
  <r>
    <x v="196"/>
    <x v="196"/>
    <x v="194"/>
    <s v="Production Technician I"/>
    <s v="MA"/>
    <n v="1550"/>
    <d v="1980-04-18T00:00:00"/>
    <x v="0"/>
    <s v="Single"/>
    <x v="3"/>
    <x v="196"/>
    <n v="31"/>
    <m/>
    <x v="0"/>
    <s v="N/A-StillEmployed"/>
    <x v="0"/>
    <x v="0"/>
    <x v="2"/>
    <x v="0"/>
    <x v="1"/>
    <n v="4.0999999999999996"/>
    <n v="4"/>
    <n v="0"/>
    <x v="40"/>
    <n v="0"/>
    <n v="13"/>
  </r>
  <r>
    <x v="197"/>
    <x v="197"/>
    <x v="195"/>
    <s v="Senior BI Developer"/>
    <s v="MA"/>
    <n v="2056"/>
    <d v="1970-04-25T00:00:00"/>
    <x v="0"/>
    <s v="Single"/>
    <x v="3"/>
    <x v="197"/>
    <n v="41"/>
    <m/>
    <x v="0"/>
    <s v="N/A-StillEmployed"/>
    <x v="0"/>
    <x v="1"/>
    <x v="19"/>
    <x v="1"/>
    <x v="1"/>
    <n v="5"/>
    <n v="3"/>
    <n v="6"/>
    <x v="7"/>
    <n v="0"/>
    <n v="17"/>
  </r>
  <r>
    <x v="198"/>
    <x v="198"/>
    <x v="196"/>
    <s v="Production Technician I"/>
    <s v="MA"/>
    <n v="2110"/>
    <d v="1989-05-02T00:00:00"/>
    <x v="0"/>
    <s v="Single"/>
    <x v="1"/>
    <x v="198"/>
    <n v="22"/>
    <d v="2014-04-04T00:00:00"/>
    <x v="5"/>
    <s v="return to school"/>
    <x v="1"/>
    <x v="0"/>
    <x v="4"/>
    <x v="4"/>
    <x v="1"/>
    <n v="4.3"/>
    <n v="3"/>
    <n v="0"/>
    <x v="92"/>
    <n v="0"/>
    <n v="19"/>
  </r>
  <r>
    <x v="199"/>
    <x v="199"/>
    <x v="197"/>
    <s v="Production Technician I"/>
    <s v="MA"/>
    <n v="2421"/>
    <d v="1983-03-28T00:00:00"/>
    <x v="0"/>
    <s v="Married"/>
    <x v="0"/>
    <x v="199"/>
    <n v="28"/>
    <d v="2016-05-25T00:00:00"/>
    <x v="1"/>
    <s v="more money"/>
    <x v="1"/>
    <x v="0"/>
    <x v="5"/>
    <x v="3"/>
    <x v="1"/>
    <n v="3.18"/>
    <n v="3"/>
    <n v="0"/>
    <x v="93"/>
    <n v="0"/>
    <n v="10"/>
  </r>
  <r>
    <x v="200"/>
    <x v="200"/>
    <x v="198"/>
    <s v="Production Technician I"/>
    <s v="MA"/>
    <n v="2136"/>
    <d v="1977-04-08T00:00:00"/>
    <x v="0"/>
    <s v="Married"/>
    <x v="0"/>
    <x v="200"/>
    <n v="34"/>
    <m/>
    <x v="0"/>
    <s v="N/A-StillEmployed"/>
    <x v="0"/>
    <x v="0"/>
    <x v="7"/>
    <x v="0"/>
    <x v="1"/>
    <n v="5"/>
    <n v="5"/>
    <n v="0"/>
    <x v="9"/>
    <n v="0"/>
    <n v="11"/>
  </r>
  <r>
    <x v="201"/>
    <x v="201"/>
    <x v="199"/>
    <s v="Production Technician I"/>
    <s v="MA"/>
    <n v="1810"/>
    <d v="1967-06-03T00:00:00"/>
    <x v="1"/>
    <s v="Separated"/>
    <x v="1"/>
    <x v="201"/>
    <n v="44"/>
    <m/>
    <x v="0"/>
    <s v="N/A-StillEmployed"/>
    <x v="0"/>
    <x v="0"/>
    <x v="8"/>
    <x v="4"/>
    <x v="0"/>
    <n v="4"/>
    <n v="3"/>
    <n v="0"/>
    <x v="52"/>
    <n v="0"/>
    <n v="12"/>
  </r>
  <r>
    <x v="202"/>
    <x v="202"/>
    <x v="200"/>
    <s v="Area Sales Manager"/>
    <s v="GA"/>
    <n v="30428"/>
    <d v="1989-03-31T00:00:00"/>
    <x v="1"/>
    <s v="Single"/>
    <x v="2"/>
    <x v="202"/>
    <n v="22"/>
    <m/>
    <x v="0"/>
    <s v="N/A-StillEmployed"/>
    <x v="0"/>
    <x v="4"/>
    <x v="16"/>
    <x v="1"/>
    <x v="1"/>
    <n v="5"/>
    <n v="5"/>
    <n v="0"/>
    <x v="8"/>
    <n v="0"/>
    <n v="2"/>
  </r>
  <r>
    <x v="203"/>
    <x v="203"/>
    <x v="201"/>
    <s v="Production Technician I"/>
    <s v="MA"/>
    <n v="2132"/>
    <d v="1984-07-07T00:00:00"/>
    <x v="1"/>
    <s v="Single"/>
    <x v="0"/>
    <x v="203"/>
    <n v="27"/>
    <m/>
    <x v="0"/>
    <s v="N/A-StillEmployed"/>
    <x v="0"/>
    <x v="0"/>
    <x v="10"/>
    <x v="0"/>
    <x v="1"/>
    <n v="3.6"/>
    <n v="5"/>
    <n v="0"/>
    <x v="6"/>
    <n v="0"/>
    <n v="4"/>
  </r>
  <r>
    <x v="204"/>
    <x v="204"/>
    <x v="202"/>
    <s v="Production Technician II"/>
    <s v="MA"/>
    <n v="1040"/>
    <d v="1985-11-23T00:00:00"/>
    <x v="1"/>
    <s v="Single"/>
    <x v="0"/>
    <x v="204"/>
    <n v="26"/>
    <m/>
    <x v="0"/>
    <s v="N/A-StillEmployed"/>
    <x v="0"/>
    <x v="0"/>
    <x v="3"/>
    <x v="1"/>
    <x v="1"/>
    <n v="4.53"/>
    <n v="5"/>
    <n v="0"/>
    <x v="61"/>
    <n v="0"/>
    <n v="5"/>
  </r>
  <r>
    <x v="205"/>
    <x v="205"/>
    <x v="203"/>
    <s v="Production Technician I"/>
    <s v="MA"/>
    <n v="2152"/>
    <d v="1980-09-30T00:00:00"/>
    <x v="1"/>
    <s v="Single"/>
    <x v="2"/>
    <x v="205"/>
    <n v="31"/>
    <d v="2018-05-01T00:00:00"/>
    <x v="4"/>
    <s v="performance"/>
    <x v="2"/>
    <x v="0"/>
    <x v="2"/>
    <x v="0"/>
    <x v="3"/>
    <n v="2.33"/>
    <n v="2"/>
    <n v="0"/>
    <x v="94"/>
    <n v="6"/>
    <n v="3"/>
  </r>
  <r>
    <x v="206"/>
    <x v="206"/>
    <x v="204"/>
    <s v="Production Technician II"/>
    <s v="MA"/>
    <n v="2492"/>
    <d v="1952-02-11T00:00:00"/>
    <x v="1"/>
    <s v="Married"/>
    <x v="3"/>
    <x v="206"/>
    <n v="59"/>
    <d v="2013-08-19T00:00:00"/>
    <x v="2"/>
    <s v="unhappy"/>
    <x v="1"/>
    <x v="0"/>
    <x v="4"/>
    <x v="0"/>
    <x v="1"/>
    <n v="5"/>
    <n v="3"/>
    <n v="0"/>
    <x v="95"/>
    <n v="0"/>
    <n v="17"/>
  </r>
  <r>
    <x v="207"/>
    <x v="207"/>
    <x v="205"/>
    <s v="Area Sales Manager"/>
    <s v="FL"/>
    <n v="33174"/>
    <d v="1990-05-11T00:00:00"/>
    <x v="1"/>
    <s v="Single"/>
    <x v="0"/>
    <x v="207"/>
    <n v="21"/>
    <m/>
    <x v="0"/>
    <s v="N/A-StillEmployed"/>
    <x v="0"/>
    <x v="4"/>
    <x v="16"/>
    <x v="1"/>
    <x v="1"/>
    <n v="4.28"/>
    <n v="3"/>
    <n v="0"/>
    <x v="8"/>
    <n v="0"/>
    <n v="1"/>
  </r>
  <r>
    <x v="208"/>
    <x v="208"/>
    <x v="206"/>
    <s v="Production Technician I"/>
    <s v="MA"/>
    <n v="2478"/>
    <d v="1976-12-11T00:00:00"/>
    <x v="0"/>
    <s v="Married"/>
    <x v="0"/>
    <x v="208"/>
    <n v="35"/>
    <m/>
    <x v="0"/>
    <s v="N/A-StillEmployed"/>
    <x v="0"/>
    <x v="0"/>
    <x v="11"/>
    <x v="0"/>
    <x v="0"/>
    <n v="5"/>
    <n v="3"/>
    <n v="0"/>
    <x v="65"/>
    <n v="0"/>
    <n v="13"/>
  </r>
  <r>
    <x v="209"/>
    <x v="209"/>
    <x v="207"/>
    <s v="Production Technician I"/>
    <s v="MA"/>
    <n v="1760"/>
    <d v="1979-11-24T00:00:00"/>
    <x v="0"/>
    <s v="Single"/>
    <x v="1"/>
    <x v="209"/>
    <n v="32"/>
    <m/>
    <x v="0"/>
    <s v="N/A-StillEmployed"/>
    <x v="0"/>
    <x v="0"/>
    <x v="0"/>
    <x v="0"/>
    <x v="2"/>
    <n v="4.25"/>
    <n v="3"/>
    <n v="0"/>
    <x v="39"/>
    <n v="4"/>
    <n v="6"/>
  </r>
  <r>
    <x v="210"/>
    <x v="210"/>
    <x v="208"/>
    <s v="Area Sales Manager"/>
    <s v="NC"/>
    <n v="27229"/>
    <d v="1982-05-19T00:00:00"/>
    <x v="0"/>
    <s v="Single"/>
    <x v="0"/>
    <x v="210"/>
    <n v="29"/>
    <m/>
    <x v="0"/>
    <s v="N/A-StillEmployed"/>
    <x v="0"/>
    <x v="4"/>
    <x v="14"/>
    <x v="7"/>
    <x v="1"/>
    <n v="5"/>
    <n v="5"/>
    <n v="0"/>
    <x v="15"/>
    <n v="0"/>
    <n v="18"/>
  </r>
  <r>
    <x v="211"/>
    <x v="211"/>
    <x v="209"/>
    <s v="Production Technician I"/>
    <s v="MA"/>
    <n v="2351"/>
    <d v="1979-05-01T00:00:00"/>
    <x v="1"/>
    <s v="Married"/>
    <x v="0"/>
    <x v="211"/>
    <n v="32"/>
    <d v="2014-01-12T00:00:00"/>
    <x v="2"/>
    <s v="Another position"/>
    <x v="1"/>
    <x v="0"/>
    <x v="3"/>
    <x v="2"/>
    <x v="1"/>
    <n v="3.89"/>
    <n v="4"/>
    <n v="0"/>
    <x v="23"/>
    <n v="0"/>
    <n v="7"/>
  </r>
  <r>
    <x v="212"/>
    <x v="212"/>
    <x v="210"/>
    <s v="Software Engineer"/>
    <s v="MA"/>
    <n v="1844"/>
    <d v="1979-02-20T00:00:00"/>
    <x v="0"/>
    <s v="Single"/>
    <x v="1"/>
    <x v="212"/>
    <n v="32"/>
    <d v="2015-09-07T00:00:00"/>
    <x v="6"/>
    <s v="Another position"/>
    <x v="1"/>
    <x v="2"/>
    <x v="6"/>
    <x v="4"/>
    <x v="0"/>
    <n v="5"/>
    <n v="5"/>
    <n v="3"/>
    <x v="96"/>
    <n v="0"/>
    <n v="13"/>
  </r>
  <r>
    <x v="213"/>
    <x v="213"/>
    <x v="211"/>
    <s v="Data Analyst"/>
    <s v="MA"/>
    <n v="2747"/>
    <d v="1984-09-05T00:00:00"/>
    <x v="0"/>
    <s v="Married"/>
    <x v="0"/>
    <x v="213"/>
    <n v="27"/>
    <d v="2016-05-01T00:00:00"/>
    <x v="1"/>
    <s v="performance"/>
    <x v="1"/>
    <x v="1"/>
    <x v="1"/>
    <x v="3"/>
    <x v="1"/>
    <n v="4.7"/>
    <n v="4"/>
    <n v="5"/>
    <x v="97"/>
    <n v="0"/>
    <n v="19"/>
  </r>
  <r>
    <x v="214"/>
    <x v="214"/>
    <x v="212"/>
    <s v="Production Technician I"/>
    <s v="MA"/>
    <n v="2458"/>
    <d v="1988-03-17T00:00:00"/>
    <x v="0"/>
    <s v="Single"/>
    <x v="1"/>
    <x v="214"/>
    <n v="23"/>
    <d v="2017-12-28T00:00:00"/>
    <x v="3"/>
    <s v="career change"/>
    <x v="1"/>
    <x v="0"/>
    <x v="4"/>
    <x v="2"/>
    <x v="2"/>
    <n v="3.54"/>
    <n v="5"/>
    <n v="0"/>
    <x v="98"/>
    <n v="4"/>
    <n v="15"/>
  </r>
  <r>
    <x v="215"/>
    <x v="215"/>
    <x v="213"/>
    <s v="Production Technician II"/>
    <s v="MA"/>
    <n v="2472"/>
    <d v="1989-07-18T00:00:00"/>
    <x v="1"/>
    <s v="Married"/>
    <x v="3"/>
    <x v="215"/>
    <n v="22"/>
    <d v="2015-09-15T00:00:00"/>
    <x v="6"/>
    <s v="unhappy"/>
    <x v="1"/>
    <x v="0"/>
    <x v="5"/>
    <x v="6"/>
    <x v="2"/>
    <n v="2.4"/>
    <n v="5"/>
    <n v="0"/>
    <x v="99"/>
    <n v="5"/>
    <n v="2"/>
  </r>
  <r>
    <x v="216"/>
    <x v="216"/>
    <x v="214"/>
    <s v="Production Technician I"/>
    <s v="MA"/>
    <n v="2176"/>
    <d v="1986-07-20T00:00:00"/>
    <x v="1"/>
    <s v="Single"/>
    <x v="0"/>
    <x v="216"/>
    <n v="25"/>
    <d v="2015-10-25T00:00:00"/>
    <x v="6"/>
    <s v="medical issues"/>
    <x v="1"/>
    <x v="0"/>
    <x v="5"/>
    <x v="0"/>
    <x v="1"/>
    <n v="3.45"/>
    <n v="4"/>
    <n v="0"/>
    <x v="100"/>
    <n v="0"/>
    <n v="5"/>
  </r>
  <r>
    <x v="217"/>
    <x v="217"/>
    <x v="215"/>
    <s v="Production Technician II"/>
    <s v="MA"/>
    <n v="1886"/>
    <d v="1986-08-17T00:00:00"/>
    <x v="1"/>
    <s v="Married"/>
    <x v="0"/>
    <x v="217"/>
    <n v="25"/>
    <d v="2013-02-04T00:00:00"/>
    <x v="7"/>
    <s v="more money"/>
    <x v="1"/>
    <x v="0"/>
    <x v="7"/>
    <x v="1"/>
    <x v="0"/>
    <n v="4.2"/>
    <n v="5"/>
    <n v="0"/>
    <x v="101"/>
    <n v="0"/>
    <n v="12"/>
  </r>
  <r>
    <x v="218"/>
    <x v="218"/>
    <x v="216"/>
    <s v="Production Manager"/>
    <s v="MA"/>
    <n v="2030"/>
    <d v="1977-05-09T00:00:00"/>
    <x v="1"/>
    <s v="Married"/>
    <x v="0"/>
    <x v="218"/>
    <n v="34"/>
    <d v="2016-05-18T00:00:00"/>
    <x v="1"/>
    <s v="Another position"/>
    <x v="1"/>
    <x v="0"/>
    <x v="13"/>
    <x v="1"/>
    <x v="1"/>
    <n v="4.16"/>
    <n v="5"/>
    <n v="0"/>
    <x v="102"/>
    <n v="0"/>
    <n v="6"/>
  </r>
  <r>
    <x v="219"/>
    <x v="219"/>
    <x v="217"/>
    <s v="Production Technician II"/>
    <s v="MA"/>
    <n v="2050"/>
    <d v="1979-03-10T00:00:00"/>
    <x v="1"/>
    <s v="Married"/>
    <x v="3"/>
    <x v="219"/>
    <n v="32"/>
    <m/>
    <x v="0"/>
    <s v="N/A-StillEmployed"/>
    <x v="0"/>
    <x v="0"/>
    <x v="8"/>
    <x v="0"/>
    <x v="1"/>
    <n v="4.3"/>
    <n v="3"/>
    <n v="0"/>
    <x v="15"/>
    <n v="0"/>
    <n v="14"/>
  </r>
  <r>
    <x v="220"/>
    <x v="220"/>
    <x v="218"/>
    <s v="Data Analyst"/>
    <s v="MA"/>
    <n v="1886"/>
    <d v="1984-09-16T00:00:00"/>
    <x v="1"/>
    <s v="Married"/>
    <x v="1"/>
    <x v="220"/>
    <n v="27"/>
    <m/>
    <x v="0"/>
    <s v="N/A-StillEmployed"/>
    <x v="0"/>
    <x v="1"/>
    <x v="1"/>
    <x v="3"/>
    <x v="0"/>
    <n v="4.5999999999999996"/>
    <n v="5"/>
    <n v="7"/>
    <x v="49"/>
    <n v="0"/>
    <n v="16"/>
  </r>
  <r>
    <x v="221"/>
    <x v="221"/>
    <x v="219"/>
    <s v="Production Technician I"/>
    <s v="MA"/>
    <n v="2451"/>
    <d v="1988-03-06T00:00:00"/>
    <x v="0"/>
    <s v="Married"/>
    <x v="3"/>
    <x v="221"/>
    <n v="23"/>
    <d v="2012-11-30T00:00:00"/>
    <x v="7"/>
    <s v="more money"/>
    <x v="1"/>
    <x v="0"/>
    <x v="8"/>
    <x v="2"/>
    <x v="1"/>
    <n v="5"/>
    <n v="3"/>
    <n v="0"/>
    <x v="103"/>
    <n v="0"/>
    <n v="13"/>
  </r>
  <r>
    <x v="222"/>
    <x v="222"/>
    <x v="220"/>
    <s v="Production Technician I"/>
    <s v="MA"/>
    <n v="2451"/>
    <d v="1981-11-23T00:00:00"/>
    <x v="0"/>
    <s v="Single"/>
    <x v="0"/>
    <x v="222"/>
    <n v="30"/>
    <m/>
    <x v="0"/>
    <s v="N/A-StillEmployed"/>
    <x v="0"/>
    <x v="0"/>
    <x v="10"/>
    <x v="2"/>
    <x v="1"/>
    <n v="3.66"/>
    <n v="3"/>
    <n v="0"/>
    <x v="7"/>
    <n v="0"/>
    <n v="15"/>
  </r>
  <r>
    <x v="223"/>
    <x v="223"/>
    <x v="221"/>
    <s v="Area Sales Manager"/>
    <s v="KY"/>
    <n v="40220"/>
    <d v="1988-08-29T00:00:00"/>
    <x v="1"/>
    <s v="Married"/>
    <x v="1"/>
    <x v="223"/>
    <n v="23"/>
    <m/>
    <x v="0"/>
    <s v="N/A-StillEmployed"/>
    <x v="0"/>
    <x v="4"/>
    <x v="16"/>
    <x v="7"/>
    <x v="1"/>
    <n v="4.2"/>
    <n v="5"/>
    <n v="0"/>
    <x v="25"/>
    <n v="0"/>
    <n v="9"/>
  </r>
  <r>
    <x v="224"/>
    <x v="224"/>
    <x v="222"/>
    <s v="Production Technician I"/>
    <s v="MA"/>
    <n v="1742"/>
    <d v="1984-10-15T00:00:00"/>
    <x v="1"/>
    <s v="Divorced"/>
    <x v="3"/>
    <x v="224"/>
    <n v="27"/>
    <d v="2018-06-04T00:00:00"/>
    <x v="4"/>
    <s v="Another position"/>
    <x v="1"/>
    <x v="0"/>
    <x v="2"/>
    <x v="2"/>
    <x v="1"/>
    <n v="3.17"/>
    <n v="4"/>
    <n v="0"/>
    <x v="104"/>
    <n v="0"/>
    <n v="14"/>
  </r>
  <r>
    <x v="225"/>
    <x v="225"/>
    <x v="223"/>
    <s v="Production Technician I"/>
    <s v="MA"/>
    <n v="2109"/>
    <d v="1961-06-19T00:00:00"/>
    <x v="0"/>
    <s v="Single"/>
    <x v="0"/>
    <x v="225"/>
    <n v="50"/>
    <m/>
    <x v="0"/>
    <s v="N/A-StillEmployed"/>
    <x v="0"/>
    <x v="0"/>
    <x v="11"/>
    <x v="3"/>
    <x v="1"/>
    <n v="4.8"/>
    <n v="3"/>
    <n v="0"/>
    <x v="5"/>
    <n v="0"/>
    <n v="14"/>
  </r>
  <r>
    <x v="226"/>
    <x v="226"/>
    <x v="224"/>
    <s v="Production Technician I"/>
    <s v="MA"/>
    <n v="2474"/>
    <d v="1970-09-22T00:00:00"/>
    <x v="1"/>
    <s v="Divorced"/>
    <x v="0"/>
    <x v="226"/>
    <n v="41"/>
    <d v="2013-06-18T00:00:00"/>
    <x v="2"/>
    <s v="unhappy"/>
    <x v="1"/>
    <x v="0"/>
    <x v="2"/>
    <x v="1"/>
    <x v="1"/>
    <n v="4.5"/>
    <n v="5"/>
    <n v="0"/>
    <x v="105"/>
    <n v="0"/>
    <n v="16"/>
  </r>
  <r>
    <x v="227"/>
    <x v="227"/>
    <x v="225"/>
    <s v="Software Engineer"/>
    <s v="MA"/>
    <n v="2045"/>
    <d v="1984-11-06T00:00:00"/>
    <x v="0"/>
    <s v="Married"/>
    <x v="1"/>
    <x v="227"/>
    <n v="27"/>
    <d v="2015-08-15T00:00:00"/>
    <x v="6"/>
    <s v="career change"/>
    <x v="1"/>
    <x v="2"/>
    <x v="13"/>
    <x v="4"/>
    <x v="1"/>
    <n v="4.1500000000000004"/>
    <n v="4"/>
    <n v="0"/>
    <x v="106"/>
    <n v="0"/>
    <n v="4"/>
  </r>
  <r>
    <x v="228"/>
    <x v="228"/>
    <x v="226"/>
    <s v="BI Developer"/>
    <s v="MA"/>
    <n v="2110"/>
    <d v="1980-05-12T00:00:00"/>
    <x v="1"/>
    <s v="Married"/>
    <x v="1"/>
    <x v="228"/>
    <n v="31"/>
    <m/>
    <x v="0"/>
    <s v="N/A-StillEmployed"/>
    <x v="0"/>
    <x v="1"/>
    <x v="19"/>
    <x v="1"/>
    <x v="1"/>
    <n v="4.4000000000000004"/>
    <n v="4"/>
    <n v="6"/>
    <x v="81"/>
    <n v="0"/>
    <n v="10"/>
  </r>
  <r>
    <x v="229"/>
    <x v="229"/>
    <x v="227"/>
    <s v="Production Technician I"/>
    <s v="MA"/>
    <n v="2478"/>
    <d v="1984-12-31T00:00:00"/>
    <x v="0"/>
    <s v="Divorced"/>
    <x v="0"/>
    <x v="229"/>
    <n v="27"/>
    <d v="2018-04-07T00:00:00"/>
    <x v="4"/>
    <s v="more money"/>
    <x v="1"/>
    <x v="0"/>
    <x v="0"/>
    <x v="1"/>
    <x v="1"/>
    <n v="3.8"/>
    <n v="5"/>
    <n v="0"/>
    <x v="107"/>
    <n v="0"/>
    <n v="19"/>
  </r>
  <r>
    <x v="230"/>
    <x v="230"/>
    <x v="228"/>
    <s v="Area Sales Manager"/>
    <s v="ID"/>
    <n v="83706"/>
    <d v="1954-10-12T00:00:00"/>
    <x v="0"/>
    <s v="Married"/>
    <x v="0"/>
    <x v="230"/>
    <n v="57"/>
    <m/>
    <x v="0"/>
    <s v="N/A-StillEmployed"/>
    <x v="0"/>
    <x v="4"/>
    <x v="14"/>
    <x v="6"/>
    <x v="1"/>
    <n v="3.98"/>
    <n v="3"/>
    <n v="0"/>
    <x v="41"/>
    <n v="0"/>
    <n v="4"/>
  </r>
  <r>
    <x v="231"/>
    <x v="231"/>
    <x v="229"/>
    <s v="Production Technician I"/>
    <s v="MA"/>
    <n v="2176"/>
    <d v="1982-07-22T00:00:00"/>
    <x v="0"/>
    <s v="Divorced"/>
    <x v="0"/>
    <x v="231"/>
    <n v="29"/>
    <d v="2016-01-15T00:00:00"/>
    <x v="6"/>
    <s v="retiring"/>
    <x v="1"/>
    <x v="0"/>
    <x v="3"/>
    <x v="0"/>
    <x v="1"/>
    <n v="5"/>
    <n v="4"/>
    <n v="0"/>
    <x v="108"/>
    <n v="0"/>
    <n v="11"/>
  </r>
  <r>
    <x v="232"/>
    <x v="232"/>
    <x v="230"/>
    <s v="Production Technician I"/>
    <s v="MA"/>
    <n v="2171"/>
    <d v="1973-01-12T00:00:00"/>
    <x v="1"/>
    <s v="Married"/>
    <x v="3"/>
    <x v="232"/>
    <n v="39"/>
    <m/>
    <x v="0"/>
    <s v="N/A-StillEmployed"/>
    <x v="0"/>
    <x v="0"/>
    <x v="4"/>
    <x v="2"/>
    <x v="0"/>
    <n v="4.3600000000000003"/>
    <n v="5"/>
    <n v="0"/>
    <x v="72"/>
    <n v="0"/>
    <n v="16"/>
  </r>
  <r>
    <x v="233"/>
    <x v="233"/>
    <x v="231"/>
    <s v="Production Technician II"/>
    <s v="MA"/>
    <n v="1902"/>
    <d v="1981-09-05T00:00:00"/>
    <x v="1"/>
    <s v="Divorced"/>
    <x v="1"/>
    <x v="233"/>
    <n v="30"/>
    <d v="2011-10-22T00:00:00"/>
    <x v="0"/>
    <s v="return to school"/>
    <x v="1"/>
    <x v="0"/>
    <x v="10"/>
    <x v="2"/>
    <x v="1"/>
    <n v="4.5"/>
    <n v="4"/>
    <n v="0"/>
    <x v="109"/>
    <n v="0"/>
    <n v="10"/>
  </r>
  <r>
    <x v="234"/>
    <x v="234"/>
    <x v="232"/>
    <s v="Production Technician II"/>
    <s v="MA"/>
    <n v="2138"/>
    <d v="1972-07-03T00:00:00"/>
    <x v="0"/>
    <s v="Married"/>
    <x v="0"/>
    <x v="234"/>
    <n v="39"/>
    <d v="2012-02-08T00:00:00"/>
    <x v="0"/>
    <s v="Another position"/>
    <x v="1"/>
    <x v="0"/>
    <x v="2"/>
    <x v="1"/>
    <x v="1"/>
    <n v="4.2"/>
    <n v="5"/>
    <n v="0"/>
    <x v="110"/>
    <n v="0"/>
    <n v="13"/>
  </r>
  <r>
    <x v="235"/>
    <x v="235"/>
    <x v="233"/>
    <s v="Production Technician I"/>
    <s v="MA"/>
    <n v="1420"/>
    <d v="1974-01-07T00:00:00"/>
    <x v="0"/>
    <s v="Married"/>
    <x v="1"/>
    <x v="235"/>
    <n v="38"/>
    <d v="2016-01-26T00:00:00"/>
    <x v="6"/>
    <s v="attendance"/>
    <x v="1"/>
    <x v="0"/>
    <x v="5"/>
    <x v="1"/>
    <x v="1"/>
    <n v="5"/>
    <n v="3"/>
    <n v="0"/>
    <x v="111"/>
    <n v="0"/>
    <n v="11"/>
  </r>
  <r>
    <x v="236"/>
    <x v="236"/>
    <x v="234"/>
    <s v="Production Technician I"/>
    <s v="MA"/>
    <n v="1460"/>
    <d v="1985-01-07T00:00:00"/>
    <x v="1"/>
    <s v="Married"/>
    <x v="0"/>
    <x v="236"/>
    <n v="27"/>
    <d v="2016-05-17T00:00:00"/>
    <x v="1"/>
    <s v="attendance"/>
    <x v="2"/>
    <x v="0"/>
    <x v="7"/>
    <x v="1"/>
    <x v="2"/>
    <n v="3.6"/>
    <n v="3"/>
    <n v="0"/>
    <x v="112"/>
    <n v="4"/>
    <n v="16"/>
  </r>
  <r>
    <x v="237"/>
    <x v="237"/>
    <x v="235"/>
    <s v="Production Technician I"/>
    <s v="MA"/>
    <n v="1730"/>
    <d v="1985-01-28T00:00:00"/>
    <x v="0"/>
    <s v="Widowed"/>
    <x v="0"/>
    <x v="237"/>
    <n v="27"/>
    <m/>
    <x v="0"/>
    <s v="N/A-StillEmployed"/>
    <x v="0"/>
    <x v="0"/>
    <x v="8"/>
    <x v="3"/>
    <x v="0"/>
    <n v="3.6"/>
    <n v="5"/>
    <n v="0"/>
    <x v="72"/>
    <n v="0"/>
    <n v="4"/>
  </r>
  <r>
    <x v="238"/>
    <x v="238"/>
    <x v="236"/>
    <s v="Data Analyst"/>
    <s v="MA"/>
    <n v="1886"/>
    <d v="1981-10-11T00:00:00"/>
    <x v="1"/>
    <s v="Married"/>
    <x v="0"/>
    <x v="238"/>
    <n v="30"/>
    <m/>
    <x v="0"/>
    <s v="N/A-StillEmployed"/>
    <x v="0"/>
    <x v="1"/>
    <x v="1"/>
    <x v="3"/>
    <x v="1"/>
    <n v="3.69"/>
    <n v="5"/>
    <n v="6"/>
    <x v="12"/>
    <n v="0"/>
    <n v="15"/>
  </r>
  <r>
    <x v="239"/>
    <x v="239"/>
    <x v="237"/>
    <s v="Principal Data Architect"/>
    <s v="MA"/>
    <n v="2703"/>
    <d v="1973-05-27T00:00:00"/>
    <x v="1"/>
    <s v="Single"/>
    <x v="0"/>
    <x v="239"/>
    <n v="38"/>
    <d v="2018-11-10T00:00:00"/>
    <x v="4"/>
    <s v="Another position"/>
    <x v="1"/>
    <x v="1"/>
    <x v="1"/>
    <x v="0"/>
    <x v="1"/>
    <n v="3.88"/>
    <n v="3"/>
    <n v="7"/>
    <x v="113"/>
    <n v="0"/>
    <n v="12"/>
  </r>
  <r>
    <x v="240"/>
    <x v="240"/>
    <x v="238"/>
    <s v="Data Architect"/>
    <s v="MA"/>
    <n v="2056"/>
    <d v="1972-11-21T00:00:00"/>
    <x v="1"/>
    <s v="Single"/>
    <x v="1"/>
    <x v="240"/>
    <n v="39"/>
    <m/>
    <x v="0"/>
    <s v="N/A-StillEmployed"/>
    <x v="0"/>
    <x v="1"/>
    <x v="19"/>
    <x v="1"/>
    <x v="1"/>
    <n v="4.9400000000000004"/>
    <n v="3"/>
    <n v="5"/>
    <x v="81"/>
    <n v="0"/>
    <n v="17"/>
  </r>
  <r>
    <x v="241"/>
    <x v="241"/>
    <x v="239"/>
    <s v="Production Technician I"/>
    <s v="MA"/>
    <n v="1886"/>
    <d v="1974-12-05T00:00:00"/>
    <x v="1"/>
    <s v="Separated"/>
    <x v="0"/>
    <x v="241"/>
    <n v="37"/>
    <m/>
    <x v="0"/>
    <s v="N/A-StillEmployed"/>
    <x v="0"/>
    <x v="0"/>
    <x v="10"/>
    <x v="7"/>
    <x v="1"/>
    <n v="5"/>
    <n v="4"/>
    <n v="0"/>
    <x v="43"/>
    <n v="0"/>
    <n v="8"/>
  </r>
  <r>
    <x v="242"/>
    <x v="242"/>
    <x v="240"/>
    <s v="Production Technician I"/>
    <s v="MA"/>
    <n v="2155"/>
    <d v="1987-03-18T00:00:00"/>
    <x v="0"/>
    <s v="Single"/>
    <x v="0"/>
    <x v="242"/>
    <n v="24"/>
    <d v="2018-08-13T00:00:00"/>
    <x v="4"/>
    <s v="Another position"/>
    <x v="1"/>
    <x v="0"/>
    <x v="2"/>
    <x v="2"/>
    <x v="1"/>
    <n v="5"/>
    <n v="5"/>
    <n v="0"/>
    <x v="114"/>
    <n v="0"/>
    <n v="4"/>
  </r>
  <r>
    <x v="243"/>
    <x v="243"/>
    <x v="241"/>
    <s v="IT Manager - DB"/>
    <s v="MA"/>
    <n v="2481"/>
    <d v="1973-04-05T00:00:00"/>
    <x v="0"/>
    <s v="Single"/>
    <x v="0"/>
    <x v="243"/>
    <n v="38"/>
    <m/>
    <x v="0"/>
    <s v="N/A-StillEmployed"/>
    <x v="0"/>
    <x v="1"/>
    <x v="15"/>
    <x v="1"/>
    <x v="1"/>
    <n v="3.6"/>
    <n v="5"/>
    <n v="7"/>
    <x v="9"/>
    <n v="0"/>
    <n v="13"/>
  </r>
  <r>
    <x v="244"/>
    <x v="244"/>
    <x v="242"/>
    <s v="IT Manager - DB"/>
    <s v="MA"/>
    <n v="1915"/>
    <d v="1964-01-04T00:00:00"/>
    <x v="0"/>
    <s v="Divorced"/>
    <x v="1"/>
    <x v="244"/>
    <n v="48"/>
    <d v="2015-11-04T00:00:00"/>
    <x v="6"/>
    <s v="hours"/>
    <x v="1"/>
    <x v="1"/>
    <x v="15"/>
    <x v="4"/>
    <x v="1"/>
    <n v="4.3"/>
    <n v="4"/>
    <n v="6"/>
    <x v="115"/>
    <n v="0"/>
    <n v="8"/>
  </r>
  <r>
    <x v="245"/>
    <x v="245"/>
    <x v="243"/>
    <s v="Software Engineer"/>
    <s v="MA"/>
    <n v="2132"/>
    <d v="1986-07-24T00:00:00"/>
    <x v="1"/>
    <s v="Married"/>
    <x v="0"/>
    <x v="245"/>
    <n v="25"/>
    <m/>
    <x v="0"/>
    <s v="N/A-StillEmployed"/>
    <x v="0"/>
    <x v="2"/>
    <x v="6"/>
    <x v="1"/>
    <x v="1"/>
    <n v="4.2"/>
    <n v="3"/>
    <n v="6"/>
    <x v="52"/>
    <n v="0"/>
    <n v="2"/>
  </r>
  <r>
    <x v="246"/>
    <x v="246"/>
    <x v="244"/>
    <s v="Production Technician I"/>
    <s v="MA"/>
    <n v="1801"/>
    <d v="1968-06-06T00:00:00"/>
    <x v="1"/>
    <s v="Single"/>
    <x v="1"/>
    <x v="246"/>
    <n v="43"/>
    <m/>
    <x v="0"/>
    <s v="N/A-StillEmployed"/>
    <x v="0"/>
    <x v="0"/>
    <x v="11"/>
    <x v="4"/>
    <x v="2"/>
    <n v="2.6"/>
    <n v="4"/>
    <n v="0"/>
    <x v="9"/>
    <n v="5"/>
    <n v="4"/>
  </r>
  <r>
    <x v="247"/>
    <x v="247"/>
    <x v="245"/>
    <s v="Production Technician I"/>
    <s v="MA"/>
    <n v="2148"/>
    <d v="1974-12-21T00:00:00"/>
    <x v="0"/>
    <s v="Single"/>
    <x v="0"/>
    <x v="247"/>
    <n v="37"/>
    <d v="2018-07-30T00:00:00"/>
    <x v="4"/>
    <s v="relocation out of area"/>
    <x v="1"/>
    <x v="0"/>
    <x v="0"/>
    <x v="2"/>
    <x v="1"/>
    <n v="4.5999999999999996"/>
    <n v="5"/>
    <n v="0"/>
    <x v="116"/>
    <n v="0"/>
    <n v="7"/>
  </r>
  <r>
    <x v="248"/>
    <x v="248"/>
    <x v="246"/>
    <s v="Production Technician II"/>
    <s v="MA"/>
    <n v="2062"/>
    <d v="1986-04-26T00:00:00"/>
    <x v="0"/>
    <s v="Married"/>
    <x v="0"/>
    <x v="248"/>
    <n v="25"/>
    <m/>
    <x v="0"/>
    <s v="N/A-StillEmployed"/>
    <x v="0"/>
    <x v="0"/>
    <x v="11"/>
    <x v="6"/>
    <x v="1"/>
    <n v="4.0999999999999996"/>
    <n v="3"/>
    <n v="0"/>
    <x v="18"/>
    <n v="0"/>
    <n v="13"/>
  </r>
  <r>
    <x v="249"/>
    <x v="249"/>
    <x v="247"/>
    <s v="Data Analyst "/>
    <s v="MA"/>
    <n v="2452"/>
    <d v="1987-12-17T00:00:00"/>
    <x v="0"/>
    <s v="Divorced"/>
    <x v="1"/>
    <x v="249"/>
    <n v="24"/>
    <d v="2015-10-31T00:00:00"/>
    <x v="6"/>
    <s v="hours"/>
    <x v="1"/>
    <x v="1"/>
    <x v="1"/>
    <x v="0"/>
    <x v="1"/>
    <n v="4.2"/>
    <n v="3"/>
    <n v="5"/>
    <x v="117"/>
    <n v="0"/>
    <n v="2"/>
  </r>
  <r>
    <x v="250"/>
    <x v="250"/>
    <x v="248"/>
    <s v="Production Technician I"/>
    <s v="MA"/>
    <n v="2154"/>
    <d v="1988-07-10T00:00:00"/>
    <x v="1"/>
    <s v="Married"/>
    <x v="1"/>
    <x v="250"/>
    <n v="23"/>
    <m/>
    <x v="0"/>
    <s v="N/A-StillEmployed"/>
    <x v="0"/>
    <x v="0"/>
    <x v="3"/>
    <x v="0"/>
    <x v="1"/>
    <n v="3.51"/>
    <n v="3"/>
    <n v="0"/>
    <x v="9"/>
    <n v="0"/>
    <n v="2"/>
  </r>
  <r>
    <x v="251"/>
    <x v="251"/>
    <x v="249"/>
    <s v="Production Technician I"/>
    <s v="MA"/>
    <n v="2191"/>
    <d v="1975-03-10T00:00:00"/>
    <x v="1"/>
    <s v="Single"/>
    <x v="3"/>
    <x v="251"/>
    <n v="37"/>
    <m/>
    <x v="0"/>
    <s v="N/A-StillEmployed"/>
    <x v="0"/>
    <x v="0"/>
    <x v="4"/>
    <x v="2"/>
    <x v="1"/>
    <n v="5"/>
    <n v="5"/>
    <n v="0"/>
    <x v="81"/>
    <n v="0"/>
    <n v="14"/>
  </r>
  <r>
    <x v="252"/>
    <x v="252"/>
    <x v="250"/>
    <s v="Network Engineer"/>
    <s v="MA"/>
    <n v="1773"/>
    <d v="1981-04-14T00:00:00"/>
    <x v="1"/>
    <s v="Married"/>
    <x v="0"/>
    <x v="252"/>
    <n v="30"/>
    <m/>
    <x v="0"/>
    <s v="N/A-StillEmployed"/>
    <x v="0"/>
    <x v="1"/>
    <x v="9"/>
    <x v="0"/>
    <x v="1"/>
    <n v="3.31"/>
    <n v="3"/>
    <n v="6"/>
    <x v="5"/>
    <n v="0"/>
    <n v="7"/>
  </r>
  <r>
    <x v="253"/>
    <x v="253"/>
    <x v="251"/>
    <s v="Production Technician I"/>
    <s v="MA"/>
    <n v="2149"/>
    <d v="1985-08-24T00:00:00"/>
    <x v="1"/>
    <s v="Married"/>
    <x v="0"/>
    <x v="253"/>
    <n v="26"/>
    <m/>
    <x v="0"/>
    <s v="N/A-StillEmployed"/>
    <x v="0"/>
    <x v="0"/>
    <x v="5"/>
    <x v="0"/>
    <x v="1"/>
    <n v="4.8099999999999996"/>
    <n v="4"/>
    <n v="0"/>
    <x v="67"/>
    <n v="0"/>
    <n v="15"/>
  </r>
  <r>
    <x v="254"/>
    <x v="254"/>
    <x v="252"/>
    <s v="Data Analyst"/>
    <s v="MA"/>
    <n v="2110"/>
    <d v="1970-02-08T00:00:00"/>
    <x v="0"/>
    <s v="Married"/>
    <x v="0"/>
    <x v="254"/>
    <n v="42"/>
    <m/>
    <x v="0"/>
    <s v="N/A-StillEmployed"/>
    <x v="0"/>
    <x v="1"/>
    <x v="1"/>
    <x v="3"/>
    <x v="1"/>
    <n v="3.32"/>
    <n v="3"/>
    <n v="7"/>
    <x v="15"/>
    <n v="0"/>
    <n v="16"/>
  </r>
  <r>
    <x v="255"/>
    <x v="255"/>
    <x v="253"/>
    <s v="Administrative Assistant"/>
    <s v="MA"/>
    <n v="2330"/>
    <d v="1988-05-19T00:00:00"/>
    <x v="1"/>
    <s v="Single"/>
    <x v="0"/>
    <x v="255"/>
    <n v="23"/>
    <m/>
    <x v="0"/>
    <s v="N/A-StillEmployed"/>
    <x v="0"/>
    <x v="3"/>
    <x v="12"/>
    <x v="7"/>
    <x v="1"/>
    <n v="5"/>
    <n v="3"/>
    <n v="5"/>
    <x v="24"/>
    <n v="0"/>
    <n v="2"/>
  </r>
  <r>
    <x v="256"/>
    <x v="256"/>
    <x v="254"/>
    <s v="Production Technician II"/>
    <s v="MA"/>
    <n v="1851"/>
    <d v="1987-11-25T00:00:00"/>
    <x v="1"/>
    <s v="Single"/>
    <x v="0"/>
    <x v="256"/>
    <n v="24"/>
    <d v="2015-04-08T00:00:00"/>
    <x v="6"/>
    <s v="maternity leave - did not return"/>
    <x v="1"/>
    <x v="0"/>
    <x v="0"/>
    <x v="6"/>
    <x v="1"/>
    <n v="4.68"/>
    <n v="4"/>
    <n v="0"/>
    <x v="118"/>
    <n v="0"/>
    <n v="20"/>
  </r>
  <r>
    <x v="257"/>
    <x v="257"/>
    <x v="255"/>
    <s v="Production Technician II"/>
    <s v="MA"/>
    <n v="2045"/>
    <d v="1963-10-30T00:00:00"/>
    <x v="0"/>
    <s v="Single"/>
    <x v="0"/>
    <x v="257"/>
    <n v="48"/>
    <m/>
    <x v="0"/>
    <s v="N/A-StillEmployed"/>
    <x v="0"/>
    <x v="0"/>
    <x v="3"/>
    <x v="1"/>
    <x v="0"/>
    <n v="4.3"/>
    <n v="3"/>
    <n v="0"/>
    <x v="41"/>
    <n v="0"/>
    <n v="4"/>
  </r>
  <r>
    <x v="258"/>
    <x v="258"/>
    <x v="256"/>
    <s v="Sales Manager"/>
    <s v="MA"/>
    <n v="1886"/>
    <d v="1984-08-16T00:00:00"/>
    <x v="0"/>
    <s v="Divorced"/>
    <x v="1"/>
    <x v="258"/>
    <n v="27"/>
    <m/>
    <x v="0"/>
    <s v="N/A-StillEmployed"/>
    <x v="0"/>
    <x v="4"/>
    <x v="18"/>
    <x v="4"/>
    <x v="2"/>
    <n v="2.4"/>
    <n v="4"/>
    <n v="0"/>
    <x v="61"/>
    <n v="2"/>
    <n v="16"/>
  </r>
  <r>
    <x v="259"/>
    <x v="259"/>
    <x v="257"/>
    <s v="Administrative Assistant"/>
    <s v="MA"/>
    <n v="1844"/>
    <d v="1987-06-14T00:00:00"/>
    <x v="1"/>
    <s v="Married"/>
    <x v="1"/>
    <x v="259"/>
    <n v="24"/>
    <d v="2013-09-25T00:00:00"/>
    <x v="2"/>
    <s v="career change"/>
    <x v="1"/>
    <x v="3"/>
    <x v="12"/>
    <x v="4"/>
    <x v="1"/>
    <n v="3.8"/>
    <n v="4"/>
    <n v="4"/>
    <x v="119"/>
    <n v="0"/>
    <n v="17"/>
  </r>
  <r>
    <x v="260"/>
    <x v="260"/>
    <x v="258"/>
    <s v="Production Technician I"/>
    <s v="MA"/>
    <n v="2130"/>
    <d v="1965-02-02T00:00:00"/>
    <x v="1"/>
    <s v="Single"/>
    <x v="0"/>
    <x v="260"/>
    <n v="47"/>
    <m/>
    <x v="0"/>
    <s v="N/A-StillEmployed"/>
    <x v="0"/>
    <x v="0"/>
    <x v="7"/>
    <x v="3"/>
    <x v="1"/>
    <n v="3.73"/>
    <n v="3"/>
    <n v="0"/>
    <x v="42"/>
    <n v="0"/>
    <n v="16"/>
  </r>
  <r>
    <x v="261"/>
    <x v="261"/>
    <x v="259"/>
    <s v="IT Support"/>
    <s v="MA"/>
    <n v="2360"/>
    <d v="1973-03-12T00:00:00"/>
    <x v="1"/>
    <s v="Married"/>
    <x v="1"/>
    <x v="261"/>
    <n v="39"/>
    <m/>
    <x v="0"/>
    <s v="N/A-StillEmployed"/>
    <x v="0"/>
    <x v="1"/>
    <x v="17"/>
    <x v="0"/>
    <x v="1"/>
    <n v="4.3"/>
    <n v="3"/>
    <n v="5"/>
    <x v="59"/>
    <n v="0"/>
    <n v="19"/>
  </r>
  <r>
    <x v="262"/>
    <x v="262"/>
    <x v="260"/>
    <s v="Sr. Network Engineer"/>
    <s v="MA"/>
    <n v="1545"/>
    <d v="1983-02-09T00:00:00"/>
    <x v="0"/>
    <s v="Married"/>
    <x v="3"/>
    <x v="262"/>
    <n v="29"/>
    <m/>
    <x v="0"/>
    <s v="N/A-StillEmployed"/>
    <x v="0"/>
    <x v="1"/>
    <x v="9"/>
    <x v="0"/>
    <x v="1"/>
    <n v="3.27"/>
    <n v="4"/>
    <n v="5"/>
    <x v="15"/>
    <n v="0"/>
    <n v="13"/>
  </r>
  <r>
    <x v="263"/>
    <x v="263"/>
    <x v="261"/>
    <s v="Production Technician I"/>
    <s v="MA"/>
    <n v="2093"/>
    <d v="1968-07-20T00:00:00"/>
    <x v="1"/>
    <s v="Married"/>
    <x v="0"/>
    <x v="263"/>
    <n v="43"/>
    <m/>
    <x v="0"/>
    <s v="N/A-StillEmployed"/>
    <x v="0"/>
    <x v="0"/>
    <x v="8"/>
    <x v="1"/>
    <x v="3"/>
    <n v="2.4"/>
    <n v="2"/>
    <n v="1"/>
    <x v="7"/>
    <n v="6"/>
    <n v="20"/>
  </r>
  <r>
    <x v="264"/>
    <x v="264"/>
    <x v="262"/>
    <s v="Production Manager"/>
    <s v="MA"/>
    <n v="2451"/>
    <d v="1975-09-30T00:00:00"/>
    <x v="1"/>
    <s v="Married"/>
    <x v="0"/>
    <x v="264"/>
    <n v="36"/>
    <m/>
    <x v="0"/>
    <s v="N/A-StillEmployed"/>
    <x v="0"/>
    <x v="0"/>
    <x v="13"/>
    <x v="0"/>
    <x v="1"/>
    <n v="4.83"/>
    <n v="5"/>
    <n v="0"/>
    <x v="12"/>
    <n v="0"/>
    <n v="15"/>
  </r>
  <r>
    <x v="265"/>
    <x v="265"/>
    <x v="263"/>
    <s v="Production Technician I"/>
    <s v="MA"/>
    <n v="2359"/>
    <d v="1973-03-26T00:00:00"/>
    <x v="1"/>
    <s v="Divorced"/>
    <x v="0"/>
    <x v="265"/>
    <n v="39"/>
    <d v="2015-06-29T00:00:00"/>
    <x v="6"/>
    <s v="unhappy"/>
    <x v="1"/>
    <x v="0"/>
    <x v="10"/>
    <x v="0"/>
    <x v="0"/>
    <n v="4.0999999999999996"/>
    <n v="4"/>
    <n v="0"/>
    <x v="120"/>
    <n v="0"/>
    <n v="16"/>
  </r>
  <r>
    <x v="266"/>
    <x v="266"/>
    <x v="264"/>
    <s v="Production Technician I"/>
    <s v="MA"/>
    <n v="2050"/>
    <d v="1982-08-25T00:00:00"/>
    <x v="1"/>
    <s v="Divorced"/>
    <x v="2"/>
    <x v="266"/>
    <n v="29"/>
    <m/>
    <x v="0"/>
    <s v="N/A-StillEmployed"/>
    <x v="0"/>
    <x v="0"/>
    <x v="2"/>
    <x v="2"/>
    <x v="1"/>
    <n v="4.0999999999999996"/>
    <n v="4"/>
    <n v="0"/>
    <x v="65"/>
    <n v="0"/>
    <n v="9"/>
  </r>
  <r>
    <x v="267"/>
    <x v="267"/>
    <x v="265"/>
    <s v="Area Sales Manager"/>
    <s v="NV"/>
    <n v="89139"/>
    <d v="1974-05-09T00:00:00"/>
    <x v="0"/>
    <s v="Married"/>
    <x v="0"/>
    <x v="267"/>
    <n v="37"/>
    <m/>
    <x v="0"/>
    <s v="N/A-StillEmployed"/>
    <x v="0"/>
    <x v="4"/>
    <x v="16"/>
    <x v="7"/>
    <x v="3"/>
    <n v="1.81"/>
    <n v="2"/>
    <n v="0"/>
    <x v="0"/>
    <n v="3"/>
    <n v="5"/>
  </r>
  <r>
    <x v="268"/>
    <x v="268"/>
    <x v="266"/>
    <s v="Accountant I"/>
    <s v="MA"/>
    <n v="2703"/>
    <d v="1986-09-01T00:00:00"/>
    <x v="0"/>
    <s v="Single"/>
    <x v="0"/>
    <x v="268"/>
    <n v="25"/>
    <m/>
    <x v="0"/>
    <s v="N/A-StillEmployed"/>
    <x v="0"/>
    <x v="3"/>
    <x v="12"/>
    <x v="1"/>
    <x v="1"/>
    <n v="3.9"/>
    <n v="5"/>
    <n v="5"/>
    <x v="48"/>
    <n v="0"/>
    <n v="9"/>
  </r>
  <r>
    <x v="269"/>
    <x v="269"/>
    <x v="267"/>
    <s v="Production Technician I"/>
    <s v="MA"/>
    <n v="2301"/>
    <d v="1985-03-14T00:00:00"/>
    <x v="0"/>
    <s v="Married"/>
    <x v="3"/>
    <x v="269"/>
    <n v="27"/>
    <m/>
    <x v="0"/>
    <s v="N/A-StillEmployed"/>
    <x v="0"/>
    <x v="0"/>
    <x v="11"/>
    <x v="0"/>
    <x v="1"/>
    <n v="4.7"/>
    <n v="3"/>
    <n v="0"/>
    <x v="17"/>
    <n v="0"/>
    <n v="4"/>
  </r>
  <r>
    <x v="270"/>
    <x v="270"/>
    <x v="268"/>
    <s v="Area Sales Manager"/>
    <s v="MT"/>
    <n v="59102"/>
    <d v="1989-05-12T00:00:00"/>
    <x v="1"/>
    <s v="Married"/>
    <x v="1"/>
    <x v="270"/>
    <n v="22"/>
    <m/>
    <x v="0"/>
    <s v="N/A-StillEmployed"/>
    <x v="0"/>
    <x v="4"/>
    <x v="14"/>
    <x v="1"/>
    <x v="1"/>
    <n v="4.0999999999999996"/>
    <n v="4"/>
    <n v="0"/>
    <x v="43"/>
    <n v="0"/>
    <n v="18"/>
  </r>
  <r>
    <x v="271"/>
    <x v="271"/>
    <x v="269"/>
    <s v="Production Manager"/>
    <s v="MA"/>
    <n v="1776"/>
    <d v="1978-03-28T00:00:00"/>
    <x v="1"/>
    <s v="Married"/>
    <x v="1"/>
    <x v="271"/>
    <n v="34"/>
    <m/>
    <x v="0"/>
    <s v="N/A-StillEmployed"/>
    <x v="0"/>
    <x v="0"/>
    <x v="13"/>
    <x v="1"/>
    <x v="1"/>
    <n v="3.73"/>
    <n v="4"/>
    <n v="0"/>
    <x v="42"/>
    <n v="0"/>
    <n v="12"/>
  </r>
  <r>
    <x v="272"/>
    <x v="272"/>
    <x v="270"/>
    <s v="Production Technician I"/>
    <s v="MA"/>
    <n v="2747"/>
    <d v="1982-10-07T00:00:00"/>
    <x v="0"/>
    <s v="Married"/>
    <x v="0"/>
    <x v="272"/>
    <n v="29"/>
    <m/>
    <x v="0"/>
    <s v="N/A-StillEmployed"/>
    <x v="0"/>
    <x v="0"/>
    <x v="0"/>
    <x v="2"/>
    <x v="1"/>
    <n v="4.3600000000000003"/>
    <n v="5"/>
    <n v="0"/>
    <x v="42"/>
    <n v="0"/>
    <n v="10"/>
  </r>
  <r>
    <x v="273"/>
    <x v="273"/>
    <x v="271"/>
    <s v="Production Technician I"/>
    <s v="MA"/>
    <n v="2718"/>
    <d v="1968-08-15T00:00:00"/>
    <x v="1"/>
    <s v="Single"/>
    <x v="3"/>
    <x v="273"/>
    <n v="43"/>
    <m/>
    <x v="0"/>
    <s v="N/A-StillEmployed"/>
    <x v="0"/>
    <x v="0"/>
    <x v="3"/>
    <x v="1"/>
    <x v="1"/>
    <n v="3.4"/>
    <n v="5"/>
    <n v="0"/>
    <x v="43"/>
    <n v="0"/>
    <n v="13"/>
  </r>
  <r>
    <x v="274"/>
    <x v="274"/>
    <x v="272"/>
    <s v="Software Engineer"/>
    <s v="MA"/>
    <n v="2140"/>
    <d v="1983-05-06T00:00:00"/>
    <x v="0"/>
    <s v="Single"/>
    <x v="0"/>
    <x v="274"/>
    <n v="28"/>
    <m/>
    <x v="0"/>
    <s v="N/A-StillEmployed"/>
    <x v="0"/>
    <x v="2"/>
    <x v="6"/>
    <x v="0"/>
    <x v="0"/>
    <n v="4.5"/>
    <n v="5"/>
    <n v="5"/>
    <x v="9"/>
    <n v="0"/>
    <n v="1"/>
  </r>
  <r>
    <x v="275"/>
    <x v="275"/>
    <x v="273"/>
    <s v="BI Developer"/>
    <s v="MA"/>
    <n v="2134"/>
    <d v="1987-10-24T00:00:00"/>
    <x v="0"/>
    <s v="Married"/>
    <x v="0"/>
    <x v="275"/>
    <n v="24"/>
    <m/>
    <x v="0"/>
    <s v="N/A-StillEmployed"/>
    <x v="0"/>
    <x v="1"/>
    <x v="19"/>
    <x v="1"/>
    <x v="1"/>
    <n v="3.4"/>
    <n v="3"/>
    <n v="6"/>
    <x v="6"/>
    <n v="0"/>
    <n v="14"/>
  </r>
  <r>
    <x v="276"/>
    <x v="276"/>
    <x v="274"/>
    <s v="Production Technician I"/>
    <s v="MA"/>
    <n v="1801"/>
    <d v="1975-04-03T00:00:00"/>
    <x v="1"/>
    <s v="Married"/>
    <x v="1"/>
    <x v="276"/>
    <n v="37"/>
    <d v="2013-04-01T00:00:00"/>
    <x v="7"/>
    <s v="Another position"/>
    <x v="1"/>
    <x v="0"/>
    <x v="4"/>
    <x v="4"/>
    <x v="1"/>
    <n v="4.5"/>
    <n v="5"/>
    <n v="0"/>
    <x v="121"/>
    <n v="0"/>
    <n v="11"/>
  </r>
  <r>
    <x v="277"/>
    <x v="277"/>
    <x v="275"/>
    <s v="Production Technician II"/>
    <s v="MA"/>
    <n v="2129"/>
    <d v="1953-05-24T00:00:00"/>
    <x v="1"/>
    <s v="Married"/>
    <x v="0"/>
    <x v="277"/>
    <n v="58"/>
    <d v="2017-07-08T00:00:00"/>
    <x v="3"/>
    <s v="Another position"/>
    <x v="1"/>
    <x v="0"/>
    <x v="3"/>
    <x v="2"/>
    <x v="1"/>
    <n v="3.93"/>
    <n v="3"/>
    <n v="0"/>
    <x v="122"/>
    <n v="0"/>
    <n v="3"/>
  </r>
  <r>
    <x v="278"/>
    <x v="278"/>
    <x v="276"/>
    <s v="Area Sales Manager"/>
    <s v="OR"/>
    <n v="97756"/>
    <d v="1965-05-07T00:00:00"/>
    <x v="1"/>
    <s v="Single"/>
    <x v="1"/>
    <x v="278"/>
    <n v="46"/>
    <m/>
    <x v="0"/>
    <s v="N/A-StillEmployed"/>
    <x v="0"/>
    <x v="4"/>
    <x v="16"/>
    <x v="1"/>
    <x v="1"/>
    <n v="3.69"/>
    <n v="3"/>
    <n v="0"/>
    <x v="41"/>
    <n v="0"/>
    <n v="18"/>
  </r>
  <r>
    <x v="279"/>
    <x v="279"/>
    <x v="277"/>
    <s v="Production Technician I"/>
    <s v="MA"/>
    <n v="2066"/>
    <d v="1965-05-09T00:00:00"/>
    <x v="1"/>
    <s v="Single"/>
    <x v="0"/>
    <x v="279"/>
    <n v="46"/>
    <d v="2016-09-05T00:00:00"/>
    <x v="1"/>
    <s v="return to school"/>
    <x v="1"/>
    <x v="0"/>
    <x v="5"/>
    <x v="1"/>
    <x v="1"/>
    <n v="3.98"/>
    <n v="4"/>
    <n v="0"/>
    <x v="123"/>
    <n v="0"/>
    <n v="1"/>
  </r>
  <r>
    <x v="280"/>
    <x v="280"/>
    <x v="278"/>
    <s v="Production Technician II"/>
    <s v="MA"/>
    <n v="2472"/>
    <d v="1975-09-16T00:00:00"/>
    <x v="0"/>
    <s v="Widowed"/>
    <x v="0"/>
    <x v="280"/>
    <n v="36"/>
    <d v="2010-08-30T00:00:00"/>
    <x v="0"/>
    <s v="military"/>
    <x v="1"/>
    <x v="0"/>
    <x v="4"/>
    <x v="8"/>
    <x v="1"/>
    <n v="4.0999999999999996"/>
    <n v="4"/>
    <n v="0"/>
    <x v="124"/>
    <n v="0"/>
    <n v="15"/>
  </r>
  <r>
    <x v="281"/>
    <x v="281"/>
    <x v="279"/>
    <s v="Production Technician I"/>
    <s v="MA"/>
    <n v="2093"/>
    <d v="1967-06-05T00:00:00"/>
    <x v="1"/>
    <s v="Divorced"/>
    <x v="1"/>
    <x v="281"/>
    <n v="44"/>
    <m/>
    <x v="0"/>
    <s v="N/A-StillEmployed"/>
    <x v="0"/>
    <x v="0"/>
    <x v="8"/>
    <x v="1"/>
    <x v="1"/>
    <n v="4.21"/>
    <n v="5"/>
    <n v="0"/>
    <x v="15"/>
    <n v="0"/>
    <n v="4"/>
  </r>
  <r>
    <x v="282"/>
    <x v="282"/>
    <x v="280"/>
    <s v="Area Sales Manager"/>
    <s v="ND"/>
    <n v="58782"/>
    <d v="1968-01-15T00:00:00"/>
    <x v="0"/>
    <s v="Separated"/>
    <x v="0"/>
    <x v="282"/>
    <n v="44"/>
    <m/>
    <x v="0"/>
    <s v="N/A-StillEmployed"/>
    <x v="0"/>
    <x v="4"/>
    <x v="16"/>
    <x v="1"/>
    <x v="0"/>
    <n v="4.0999999999999996"/>
    <n v="3"/>
    <n v="0"/>
    <x v="49"/>
    <n v="0"/>
    <n v="6"/>
  </r>
  <r>
    <x v="283"/>
    <x v="283"/>
    <x v="270"/>
    <s v="Production Technician I"/>
    <s v="MA"/>
    <n v="2021"/>
    <d v="1983-05-16T00:00:00"/>
    <x v="1"/>
    <s v="Single"/>
    <x v="0"/>
    <x v="283"/>
    <n v="28"/>
    <m/>
    <x v="0"/>
    <s v="N/A-StillEmployed"/>
    <x v="0"/>
    <x v="0"/>
    <x v="10"/>
    <x v="0"/>
    <x v="2"/>
    <n v="2.44"/>
    <n v="5"/>
    <n v="0"/>
    <x v="72"/>
    <n v="4"/>
    <n v="18"/>
  </r>
  <r>
    <x v="284"/>
    <x v="284"/>
    <x v="281"/>
    <s v="Network Engineer"/>
    <s v="MA"/>
    <n v="1420"/>
    <d v="1988-05-05T00:00:00"/>
    <x v="0"/>
    <s v="Married"/>
    <x v="0"/>
    <x v="284"/>
    <n v="23"/>
    <d v="2016-02-12T00:00:00"/>
    <x v="6"/>
    <s v="medical issues"/>
    <x v="1"/>
    <x v="1"/>
    <x v="9"/>
    <x v="6"/>
    <x v="1"/>
    <n v="5"/>
    <n v="3"/>
    <n v="5"/>
    <x v="75"/>
    <n v="0"/>
    <n v="11"/>
  </r>
  <r>
    <x v="285"/>
    <x v="285"/>
    <x v="282"/>
    <s v="Software Engineer"/>
    <s v="MA"/>
    <n v="2451"/>
    <d v="1983-06-14T00:00:00"/>
    <x v="0"/>
    <s v="Single"/>
    <x v="1"/>
    <x v="285"/>
    <n v="28"/>
    <d v="2018-04-15T00:00:00"/>
    <x v="4"/>
    <s v="medical issues"/>
    <x v="1"/>
    <x v="2"/>
    <x v="6"/>
    <x v="4"/>
    <x v="1"/>
    <n v="4.5999999999999996"/>
    <n v="3"/>
    <n v="4"/>
    <x v="125"/>
    <n v="0"/>
    <n v="9"/>
  </r>
  <r>
    <x v="286"/>
    <x v="286"/>
    <x v="283"/>
    <s v="Production Technician II"/>
    <s v="MA"/>
    <n v="1778"/>
    <d v="1985-03-15T00:00:00"/>
    <x v="1"/>
    <s v="Single"/>
    <x v="0"/>
    <x v="286"/>
    <n v="27"/>
    <d v="2014-07-02T00:00:00"/>
    <x v="5"/>
    <s v="unhappy"/>
    <x v="1"/>
    <x v="0"/>
    <x v="5"/>
    <x v="0"/>
    <x v="1"/>
    <n v="4.4000000000000004"/>
    <n v="3"/>
    <n v="0"/>
    <x v="126"/>
    <n v="0"/>
    <n v="5"/>
  </r>
  <r>
    <x v="287"/>
    <x v="287"/>
    <x v="284"/>
    <s v="Network Engineer"/>
    <s v="MA"/>
    <n v="2343"/>
    <d v="1969-03-31T00:00:00"/>
    <x v="0"/>
    <s v="Married"/>
    <x v="0"/>
    <x v="287"/>
    <n v="43"/>
    <m/>
    <x v="0"/>
    <s v="N/A-StillEmployed"/>
    <x v="0"/>
    <x v="1"/>
    <x v="9"/>
    <x v="3"/>
    <x v="1"/>
    <n v="5"/>
    <n v="4"/>
    <n v="7"/>
    <x v="15"/>
    <n v="0"/>
    <n v="8"/>
  </r>
  <r>
    <x v="288"/>
    <x v="288"/>
    <x v="285"/>
    <s v="Area Sales Manager"/>
    <s v="AZ"/>
    <n v="85006"/>
    <d v="1991-05-23T00:00:00"/>
    <x v="1"/>
    <s v="Married"/>
    <x v="2"/>
    <x v="288"/>
    <n v="20"/>
    <m/>
    <x v="0"/>
    <s v="N/A-StillEmployed"/>
    <x v="0"/>
    <x v="4"/>
    <x v="14"/>
    <x v="1"/>
    <x v="1"/>
    <n v="2.81"/>
    <n v="3"/>
    <n v="0"/>
    <x v="0"/>
    <n v="0"/>
    <n v="16"/>
  </r>
  <r>
    <x v="289"/>
    <x v="289"/>
    <x v="286"/>
    <s v="Production Technician I"/>
    <s v="MA"/>
    <n v="2171"/>
    <d v="1987-01-31T00:00:00"/>
    <x v="0"/>
    <s v="Divorced"/>
    <x v="0"/>
    <x v="289"/>
    <n v="25"/>
    <d v="2016-02-05T00:00:00"/>
    <x v="6"/>
    <s v="maternity leave - did not return"/>
    <x v="1"/>
    <x v="0"/>
    <x v="2"/>
    <x v="0"/>
    <x v="0"/>
    <n v="4.5"/>
    <n v="5"/>
    <n v="0"/>
    <x v="4"/>
    <n v="0"/>
    <n v="15"/>
  </r>
  <r>
    <x v="290"/>
    <x v="290"/>
    <x v="287"/>
    <s v="Production Manager"/>
    <s v="MA"/>
    <n v="2169"/>
    <d v="1968-10-10T00:00:00"/>
    <x v="0"/>
    <s v="Divorced"/>
    <x v="0"/>
    <x v="290"/>
    <n v="43"/>
    <m/>
    <x v="0"/>
    <s v="N/A-StillEmployed"/>
    <x v="0"/>
    <x v="0"/>
    <x v="13"/>
    <x v="3"/>
    <x v="1"/>
    <n v="3.93"/>
    <n v="3"/>
    <n v="0"/>
    <x v="19"/>
    <n v="0"/>
    <n v="19"/>
  </r>
  <r>
    <x v="291"/>
    <x v="291"/>
    <x v="288"/>
    <s v="Area Sales Manager"/>
    <s v="ME"/>
    <n v="4063"/>
    <d v="1989-07-11T00:00:00"/>
    <x v="0"/>
    <s v="Single"/>
    <x v="3"/>
    <x v="291"/>
    <n v="22"/>
    <m/>
    <x v="0"/>
    <s v="N/A-StillEmployed"/>
    <x v="0"/>
    <x v="4"/>
    <x v="14"/>
    <x v="7"/>
    <x v="1"/>
    <n v="4.5"/>
    <n v="4"/>
    <n v="0"/>
    <x v="48"/>
    <n v="0"/>
    <n v="11"/>
  </r>
  <r>
    <x v="292"/>
    <x v="292"/>
    <x v="289"/>
    <s v="Database Administrator"/>
    <s v="MA"/>
    <n v="1960"/>
    <d v="1986-08-07T00:00:00"/>
    <x v="0"/>
    <s v="Married"/>
    <x v="1"/>
    <x v="292"/>
    <n v="25"/>
    <d v="2017-02-22T00:00:00"/>
    <x v="1"/>
    <s v="no-call, no-show"/>
    <x v="2"/>
    <x v="1"/>
    <x v="1"/>
    <x v="3"/>
    <x v="1"/>
    <n v="4.33"/>
    <n v="3"/>
    <n v="7"/>
    <x v="127"/>
    <n v="0"/>
    <n v="9"/>
  </r>
  <r>
    <x v="293"/>
    <x v="293"/>
    <x v="290"/>
    <s v="Production Technician I"/>
    <s v="MA"/>
    <n v="2747"/>
    <d v="1986-06-03T00:00:00"/>
    <x v="1"/>
    <s v="Married"/>
    <x v="0"/>
    <x v="293"/>
    <n v="25"/>
    <d v="2016-02-08T00:00:00"/>
    <x v="6"/>
    <s v="gross misconduct"/>
    <x v="2"/>
    <x v="0"/>
    <x v="11"/>
    <x v="2"/>
    <x v="0"/>
    <n v="4.3"/>
    <n v="5"/>
    <n v="0"/>
    <x v="128"/>
    <n v="0"/>
    <n v="18"/>
  </r>
  <r>
    <x v="294"/>
    <x v="294"/>
    <x v="291"/>
    <s v="Production Technician I"/>
    <s v="MA"/>
    <n v="2124"/>
    <d v="1985-04-06T00:00:00"/>
    <x v="1"/>
    <s v="Single"/>
    <x v="0"/>
    <x v="294"/>
    <n v="27"/>
    <m/>
    <x v="0"/>
    <s v="N/A-StillEmployed"/>
    <x v="0"/>
    <x v="0"/>
    <x v="0"/>
    <x v="0"/>
    <x v="1"/>
    <n v="3.21"/>
    <n v="3"/>
    <n v="0"/>
    <x v="47"/>
    <n v="0"/>
    <n v="7"/>
  </r>
  <r>
    <x v="295"/>
    <x v="295"/>
    <x v="292"/>
    <s v="Production Technician II"/>
    <s v="MA"/>
    <n v="2459"/>
    <d v="1976-02-10T00:00:00"/>
    <x v="0"/>
    <s v="Single"/>
    <x v="1"/>
    <x v="295"/>
    <n v="36"/>
    <m/>
    <x v="0"/>
    <s v="N/A-StillEmployed"/>
    <x v="0"/>
    <x v="0"/>
    <x v="7"/>
    <x v="3"/>
    <x v="1"/>
    <n v="3.11"/>
    <n v="5"/>
    <n v="0"/>
    <x v="31"/>
    <n v="0"/>
    <n v="4"/>
  </r>
  <r>
    <x v="296"/>
    <x v="296"/>
    <x v="293"/>
    <s v="Production Manager"/>
    <s v="MA"/>
    <n v="2478"/>
    <d v="1955-11-14T00:00:00"/>
    <x v="1"/>
    <s v="Married"/>
    <x v="1"/>
    <x v="296"/>
    <n v="56"/>
    <d v="2012-01-02T00:00:00"/>
    <x v="0"/>
    <s v="Another position"/>
    <x v="1"/>
    <x v="0"/>
    <x v="13"/>
    <x v="4"/>
    <x v="1"/>
    <n v="4.5"/>
    <n v="3"/>
    <n v="0"/>
    <x v="129"/>
    <n v="0"/>
    <n v="5"/>
  </r>
  <r>
    <x v="297"/>
    <x v="297"/>
    <x v="294"/>
    <s v="Production Technician I"/>
    <s v="MA"/>
    <n v="1887"/>
    <d v="1980-08-02T00:00:00"/>
    <x v="1"/>
    <s v="Single"/>
    <x v="0"/>
    <x v="297"/>
    <n v="31"/>
    <d v="2015-09-01T00:00:00"/>
    <x v="6"/>
    <s v="career change"/>
    <x v="1"/>
    <x v="0"/>
    <x v="3"/>
    <x v="6"/>
    <x v="2"/>
    <n v="2.5"/>
    <n v="3"/>
    <n v="0"/>
    <x v="130"/>
    <n v="6"/>
    <n v="13"/>
  </r>
  <r>
    <x v="298"/>
    <x v="298"/>
    <x v="295"/>
    <s v="Senior BI Developer"/>
    <s v="MA"/>
    <n v="1887"/>
    <d v="1981-07-08T00:00:00"/>
    <x v="0"/>
    <s v="Single"/>
    <x v="3"/>
    <x v="298"/>
    <n v="30"/>
    <m/>
    <x v="0"/>
    <s v="N/A-StillEmployed"/>
    <x v="0"/>
    <x v="1"/>
    <x v="19"/>
    <x v="1"/>
    <x v="1"/>
    <n v="3.42"/>
    <n v="4"/>
    <n v="7"/>
    <x v="49"/>
    <n v="0"/>
    <n v="17"/>
  </r>
  <r>
    <x v="299"/>
    <x v="299"/>
    <x v="296"/>
    <s v="Sr. Network Engineer"/>
    <s v="MA"/>
    <n v="2453"/>
    <d v="1978-05-02T00:00:00"/>
    <x v="1"/>
    <s v="Widowed"/>
    <x v="3"/>
    <x v="299"/>
    <n v="33"/>
    <m/>
    <x v="0"/>
    <s v="N/A-StillEmployed"/>
    <x v="0"/>
    <x v="1"/>
    <x v="9"/>
    <x v="3"/>
    <x v="1"/>
    <n v="4.2"/>
    <n v="4"/>
    <n v="8"/>
    <x v="131"/>
    <n v="0"/>
    <n v="7"/>
  </r>
  <r>
    <x v="300"/>
    <x v="300"/>
    <x v="297"/>
    <s v="Production Technician I"/>
    <s v="MA"/>
    <n v="2030"/>
    <d v="1987-05-24T00:00:00"/>
    <x v="0"/>
    <s v="Single"/>
    <x v="0"/>
    <x v="300"/>
    <n v="24"/>
    <d v="2014-05-15T00:00:00"/>
    <x v="5"/>
    <s v="hours"/>
    <x v="1"/>
    <x v="0"/>
    <x v="4"/>
    <x v="0"/>
    <x v="1"/>
    <n v="5"/>
    <n v="5"/>
    <n v="0"/>
    <x v="132"/>
    <n v="0"/>
    <n v="11"/>
  </r>
  <r>
    <x v="301"/>
    <x v="301"/>
    <x v="298"/>
    <s v="Production Technician I"/>
    <s v="MA"/>
    <n v="2324"/>
    <d v="1965-09-09T00:00:00"/>
    <x v="0"/>
    <s v="Married"/>
    <x v="0"/>
    <x v="301"/>
    <n v="46"/>
    <d v="2015-09-07T00:00:00"/>
    <x v="6"/>
    <s v="unhappy"/>
    <x v="1"/>
    <x v="0"/>
    <x v="5"/>
    <x v="7"/>
    <x v="1"/>
    <n v="5"/>
    <n v="3"/>
    <n v="0"/>
    <x v="82"/>
    <n v="0"/>
    <n v="7"/>
  </r>
  <r>
    <x v="302"/>
    <x v="302"/>
    <x v="299"/>
    <s v="Production Technician I"/>
    <s v="MA"/>
    <n v="1876"/>
    <d v="1983-07-30T00:00:00"/>
    <x v="1"/>
    <s v="Divorced"/>
    <x v="0"/>
    <x v="302"/>
    <n v="28"/>
    <d v="2012-05-14T00:00:00"/>
    <x v="7"/>
    <s v="Another position"/>
    <x v="1"/>
    <x v="0"/>
    <x v="7"/>
    <x v="2"/>
    <x v="1"/>
    <n v="3.6"/>
    <n v="5"/>
    <n v="0"/>
    <x v="133"/>
    <n v="0"/>
    <n v="9"/>
  </r>
  <r>
    <x v="303"/>
    <x v="303"/>
    <x v="300"/>
    <s v="Production Technician I"/>
    <s v="MA"/>
    <n v="2109"/>
    <d v="1969-10-02T00:00:00"/>
    <x v="1"/>
    <s v="Single"/>
    <x v="1"/>
    <x v="303"/>
    <n v="42"/>
    <d v="2015-06-27T00:00:00"/>
    <x v="6"/>
    <s v="relocation out of area"/>
    <x v="1"/>
    <x v="0"/>
    <x v="7"/>
    <x v="4"/>
    <x v="1"/>
    <n v="4.3"/>
    <n v="4"/>
    <n v="0"/>
    <x v="134"/>
    <n v="0"/>
    <n v="16"/>
  </r>
  <r>
    <x v="304"/>
    <x v="304"/>
    <x v="301"/>
    <s v="Production Technician II"/>
    <s v="MA"/>
    <n v="2045"/>
    <d v="1958-11-07T00:00:00"/>
    <x v="0"/>
    <s v="Single"/>
    <x v="0"/>
    <x v="304"/>
    <n v="53"/>
    <d v="2016-02-21T00:00:00"/>
    <x v="6"/>
    <s v="retiring"/>
    <x v="1"/>
    <x v="0"/>
    <x v="8"/>
    <x v="0"/>
    <x v="0"/>
    <n v="5"/>
    <n v="3"/>
    <n v="0"/>
    <x v="135"/>
    <n v="0"/>
    <n v="7"/>
  </r>
  <r>
    <x v="305"/>
    <x v="305"/>
    <x v="302"/>
    <s v="Production Technician II"/>
    <s v="MA"/>
    <n v="2302"/>
    <d v="1985-04-20T00:00:00"/>
    <x v="1"/>
    <s v="Single"/>
    <x v="0"/>
    <x v="305"/>
    <n v="27"/>
    <m/>
    <x v="0"/>
    <s v="N/A-StillEmployed"/>
    <x v="0"/>
    <x v="0"/>
    <x v="10"/>
    <x v="0"/>
    <x v="1"/>
    <n v="3.4"/>
    <n v="4"/>
    <n v="0"/>
    <x v="28"/>
    <n v="0"/>
    <n v="14"/>
  </r>
  <r>
    <x v="306"/>
    <x v="306"/>
    <x v="303"/>
    <s v="Production Technician II"/>
    <s v="MA"/>
    <n v="1810"/>
    <d v="1985-05-11T00:00:00"/>
    <x v="0"/>
    <s v="Single"/>
    <x v="0"/>
    <x v="306"/>
    <n v="26"/>
    <m/>
    <x v="0"/>
    <s v="N/A-StillEmployed"/>
    <x v="0"/>
    <x v="0"/>
    <x v="2"/>
    <x v="0"/>
    <x v="1"/>
    <n v="4.07"/>
    <n v="4"/>
    <n v="0"/>
    <x v="37"/>
    <n v="0"/>
    <n v="13"/>
  </r>
  <r>
    <x v="307"/>
    <x v="307"/>
    <x v="304"/>
    <s v="Production Technician I"/>
    <s v="MA"/>
    <n v="2458"/>
    <d v="1982-05-04T00:00:00"/>
    <x v="1"/>
    <s v="Single"/>
    <x v="3"/>
    <x v="307"/>
    <n v="30"/>
    <d v="2015-09-29T00:00:00"/>
    <x v="6"/>
    <s v="Another position"/>
    <x v="1"/>
    <x v="0"/>
    <x v="8"/>
    <x v="2"/>
    <x v="3"/>
    <n v="3.2"/>
    <n v="2"/>
    <n v="0"/>
    <x v="136"/>
    <n v="5"/>
    <n v="4"/>
  </r>
  <r>
    <x v="308"/>
    <x v="308"/>
    <x v="305"/>
    <s v="CIO"/>
    <s v="MA"/>
    <n v="2067"/>
    <d v="1979-08-30T00:00:00"/>
    <x v="1"/>
    <s v="Single"/>
    <x v="0"/>
    <x v="308"/>
    <n v="32"/>
    <m/>
    <x v="0"/>
    <s v="N/A-StillEmployed"/>
    <x v="0"/>
    <x v="1"/>
    <x v="13"/>
    <x v="3"/>
    <x v="0"/>
    <n v="4.5999999999999996"/>
    <n v="5"/>
    <n v="6"/>
    <x v="28"/>
    <n v="0"/>
    <n v="16"/>
  </r>
  <r>
    <x v="309"/>
    <x v="309"/>
    <x v="306"/>
    <s v="Data Analyst"/>
    <s v="MA"/>
    <n v="2148"/>
    <d v="1979-02-24T00:00:00"/>
    <x v="1"/>
    <s v="Single"/>
    <x v="0"/>
    <x v="309"/>
    <n v="33"/>
    <m/>
    <x v="0"/>
    <s v="N/A-StillEmployed"/>
    <x v="0"/>
    <x v="1"/>
    <x v="1"/>
    <x v="3"/>
    <x v="1"/>
    <n v="5"/>
    <n v="3"/>
    <n v="5"/>
    <x v="25"/>
    <n v="0"/>
    <n v="11"/>
  </r>
  <r>
    <x v="310"/>
    <x v="310"/>
    <x v="307"/>
    <s v="Production Technician I"/>
    <s v="MA"/>
    <n v="1730"/>
    <d v="1978-08-17T00:00:00"/>
    <x v="1"/>
    <s v="Widowed"/>
    <x v="3"/>
    <x v="310"/>
    <n v="33"/>
    <m/>
    <x v="0"/>
    <s v="N/A-StillEmployed"/>
    <x v="0"/>
    <x v="0"/>
    <x v="10"/>
    <x v="0"/>
    <x v="1"/>
    <n v="4.5"/>
    <n v="5"/>
    <n v="0"/>
    <x v="30"/>
    <s v="                        "/>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7912AC-E9A9-4535-A13D-04A5CA31C3A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6" rowHeaderCaption=" ">
  <location ref="A3:B16" firstHeaderRow="1" firstDataRow="1" firstDataCol="1"/>
  <pivotFields count="30">
    <pivotField showAll="0"/>
    <pivotField numFmtId="1" showAll="0"/>
    <pivotField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showAll="0"/>
    <pivotField showAll="0" sortType="ascending"/>
    <pivotField showAll="0"/>
    <pivotField numFmtId="165" showAll="0"/>
    <pivotField dataField="1" numFmtId="1" showAll="0"/>
    <pivotField numFmtId="1" showAll="0"/>
    <pivotField axis="axisRow" numFmtId="164" showAll="0">
      <items count="15">
        <item x="0"/>
        <item x="1"/>
        <item x="2"/>
        <item x="3"/>
        <item x="4"/>
        <item x="5"/>
        <item x="6"/>
        <item x="7"/>
        <item x="8"/>
        <item x="9"/>
        <item x="10"/>
        <item x="11"/>
        <item x="12"/>
        <item x="13"/>
        <item t="default"/>
      </items>
    </pivotField>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sd="0" x="0"/>
        <item sd="0" x="1"/>
        <item sd="0" x="2"/>
        <item sd="0" x="3"/>
        <item sd="0" x="4"/>
        <item sd="0" x="5"/>
        <item t="default"/>
      </items>
    </pivotField>
    <pivotField showAll="0" sortType="ascending">
      <items count="13">
        <item sd="0" x="0"/>
        <item sd="0" x="11"/>
        <item sd="0" x="1"/>
        <item sd="0" x="2"/>
        <item sd="0" x="3"/>
        <item sd="0" x="4"/>
        <item sd="0" x="5"/>
        <item sd="0" x="6"/>
        <item sd="0" x="7"/>
        <item sd="0" x="8"/>
        <item sd="0" x="9"/>
        <item sd="0" x="10"/>
        <item t="default"/>
      </items>
    </pivotField>
  </pivotFields>
  <rowFields count="1">
    <field x="23"/>
  </rowFields>
  <rowItems count="13">
    <i>
      <x v="1"/>
    </i>
    <i>
      <x v="2"/>
    </i>
    <i>
      <x v="3"/>
    </i>
    <i>
      <x v="4"/>
    </i>
    <i>
      <x v="5"/>
    </i>
    <i>
      <x v="6"/>
    </i>
    <i>
      <x v="7"/>
    </i>
    <i>
      <x v="8"/>
    </i>
    <i>
      <x v="9"/>
    </i>
    <i>
      <x v="10"/>
    </i>
    <i>
      <x v="11"/>
    </i>
    <i>
      <x v="12"/>
    </i>
    <i t="grand">
      <x/>
    </i>
  </rowItems>
  <colItems count="1">
    <i/>
  </colItems>
  <dataFields count="1">
    <dataField name="Average of Emp Satisfaction" fld="21" subtotal="average" baseField="23" baseItem="1"/>
  </dataFields>
  <formats count="3">
    <format dxfId="43">
      <pivotArea field="16" type="button" dataOnly="0" labelOnly="1" outline="0"/>
    </format>
    <format dxfId="42">
      <pivotArea outline="0" collapsedLevelsAreSubtotals="1" fieldPosition="0"/>
    </format>
    <format dxfId="41">
      <pivotArea dataOnly="0" labelOnly="1" outline="0" axis="axisValues" fieldPosition="0"/>
    </format>
  </formats>
  <chartFormats count="19">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23" count="1" selected="0">
            <x v="9"/>
          </reference>
        </references>
      </pivotArea>
    </chartFormat>
    <chartFormat chart="24"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3" count="1" selected="0">
            <x v="2"/>
          </reference>
        </references>
      </pivotArea>
    </chartFormat>
    <chartFormat chart="24" format="7">
      <pivotArea type="data" outline="0" fieldPosition="0">
        <references count="2">
          <reference field="4294967294" count="1" selected="0">
            <x v="0"/>
          </reference>
          <reference field="23" count="1" selected="0">
            <x v="4"/>
          </reference>
        </references>
      </pivotArea>
    </chartFormat>
    <chartFormat chart="24" format="8">
      <pivotArea type="data" outline="0" fieldPosition="0">
        <references count="2">
          <reference field="4294967294" count="1" selected="0">
            <x v="0"/>
          </reference>
          <reference field="23" count="1" selected="0">
            <x v="6"/>
          </reference>
        </references>
      </pivotArea>
    </chartFormat>
    <chartFormat chart="24" format="9">
      <pivotArea type="data" outline="0" fieldPosition="0">
        <references count="2">
          <reference field="4294967294" count="1" selected="0">
            <x v="0"/>
          </reference>
          <reference field="23" count="1" selected="0">
            <x v="8"/>
          </reference>
        </references>
      </pivotArea>
    </chartFormat>
    <chartFormat chart="24" format="10">
      <pivotArea type="data" outline="0" fieldPosition="0">
        <references count="2">
          <reference field="4294967294" count="1" selected="0">
            <x v="0"/>
          </reference>
          <reference field="23" count="1" selected="0">
            <x v="11"/>
          </reference>
        </references>
      </pivotArea>
    </chartFormat>
    <chartFormat chart="24" format="11">
      <pivotArea type="data" outline="0" fieldPosition="0">
        <references count="2">
          <reference field="4294967294" count="1" selected="0">
            <x v="0"/>
          </reference>
          <reference field="23" count="1" selected="0">
            <x v="10"/>
          </reference>
        </references>
      </pivotArea>
    </chartFormat>
    <chartFormat chart="24" format="12">
      <pivotArea type="data" outline="0" fieldPosition="0">
        <references count="2">
          <reference field="4294967294" count="1" selected="0">
            <x v="0"/>
          </reference>
          <reference field="23" count="1" selected="0">
            <x v="3"/>
          </reference>
        </references>
      </pivotArea>
    </chartFormat>
    <chartFormat chart="45" format="13" series="1">
      <pivotArea type="data" outline="0" fieldPosition="0">
        <references count="1">
          <reference field="4294967294" count="1" selected="0">
            <x v="0"/>
          </reference>
        </references>
      </pivotArea>
    </chartFormat>
    <chartFormat chart="45" format="14">
      <pivotArea type="data" outline="0" fieldPosition="0">
        <references count="2">
          <reference field="4294967294" count="1" selected="0">
            <x v="0"/>
          </reference>
          <reference field="23" count="1" selected="0">
            <x v="2"/>
          </reference>
        </references>
      </pivotArea>
    </chartFormat>
    <chartFormat chart="45" format="15">
      <pivotArea type="data" outline="0" fieldPosition="0">
        <references count="2">
          <reference field="4294967294" count="1" selected="0">
            <x v="0"/>
          </reference>
          <reference field="23" count="1" selected="0">
            <x v="3"/>
          </reference>
        </references>
      </pivotArea>
    </chartFormat>
    <chartFormat chart="45" format="16">
      <pivotArea type="data" outline="0" fieldPosition="0">
        <references count="2">
          <reference field="4294967294" count="1" selected="0">
            <x v="0"/>
          </reference>
          <reference field="23" count="1" selected="0">
            <x v="4"/>
          </reference>
        </references>
      </pivotArea>
    </chartFormat>
    <chartFormat chart="45" format="17">
      <pivotArea type="data" outline="0" fieldPosition="0">
        <references count="2">
          <reference field="4294967294" count="1" selected="0">
            <x v="0"/>
          </reference>
          <reference field="23" count="1" selected="0">
            <x v="6"/>
          </reference>
        </references>
      </pivotArea>
    </chartFormat>
    <chartFormat chart="45" format="18">
      <pivotArea type="data" outline="0" fieldPosition="0">
        <references count="2">
          <reference field="4294967294" count="1" selected="0">
            <x v="0"/>
          </reference>
          <reference field="23" count="1" selected="0">
            <x v="8"/>
          </reference>
        </references>
      </pivotArea>
    </chartFormat>
    <chartFormat chart="45" format="19">
      <pivotArea type="data" outline="0" fieldPosition="0">
        <references count="2">
          <reference field="4294967294" count="1" selected="0">
            <x v="0"/>
          </reference>
          <reference field="23" count="1" selected="0">
            <x v="10"/>
          </reference>
        </references>
      </pivotArea>
    </chartFormat>
    <chartFormat chart="45" format="20">
      <pivotArea type="data" outline="0" fieldPosition="0">
        <references count="2">
          <reference field="4294967294" count="1" selected="0">
            <x v="0"/>
          </reference>
          <reference field="2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41F4D-F083-4EB0-8C4D-6AA650F6D7E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6" rowHeaderCaption=" ">
  <location ref="A3:B13" firstHeaderRow="1" firstDataRow="1" firstDataCol="1"/>
  <pivotFields count="30">
    <pivotField showAll="0"/>
    <pivotField numFmtId="1" showAll="0"/>
    <pivotField dataField="1"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showAll="0"/>
    <pivotField showAll="0" sortType="ascending"/>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sd="0" x="0"/>
        <item x="1"/>
        <item sd="0" x="2"/>
        <item sd="0" x="3"/>
        <item sd="0" x="4"/>
        <item sd="0" x="5"/>
        <item t="default"/>
      </items>
    </pivotField>
    <pivotField showAll="0">
      <items count="5">
        <item h="1" sd="0" x="0"/>
        <item sd="0" x="1"/>
        <item sd="0" x="2"/>
        <item h="1" sd="0" x="3"/>
        <item t="default"/>
      </items>
    </pivotField>
    <pivotField showAll="0">
      <items count="7">
        <item x="0"/>
        <item x="1"/>
        <item x="2"/>
        <item x="3"/>
        <item x="4"/>
        <item x="5"/>
        <item t="default"/>
      </items>
    </pivotField>
    <pivotField axis="axisRow" showAll="0">
      <items count="13">
        <item x="0"/>
        <item x="1"/>
        <item x="2"/>
        <item x="3"/>
        <item x="4"/>
        <item x="5"/>
        <item x="6"/>
        <item x="7"/>
        <item x="8"/>
        <item x="9"/>
        <item h="1" x="10"/>
        <item h="1" x="11"/>
        <item t="default"/>
      </items>
    </pivotField>
  </pivotFields>
  <rowFields count="1">
    <field x="29"/>
  </rowFields>
  <rowItems count="10">
    <i>
      <x v="1"/>
    </i>
    <i>
      <x v="2"/>
    </i>
    <i>
      <x v="3"/>
    </i>
    <i>
      <x v="4"/>
    </i>
    <i>
      <x v="5"/>
    </i>
    <i>
      <x v="6"/>
    </i>
    <i>
      <x v="7"/>
    </i>
    <i>
      <x v="8"/>
    </i>
    <i>
      <x v="9"/>
    </i>
    <i t="grand">
      <x/>
    </i>
  </rowItems>
  <colItems count="1">
    <i/>
  </colItems>
  <dataFields count="1">
    <dataField name="Average of Salary" fld="2" subtotal="average" baseField="27" baseItem="1"/>
  </dataFields>
  <formats count="4">
    <format dxfId="40">
      <pivotArea field="16" type="button" dataOnly="0" labelOnly="1" outline="0"/>
    </format>
    <format dxfId="39">
      <pivotArea outline="0" collapsedLevelsAreSubtotals="1" fieldPosition="0"/>
    </format>
    <format dxfId="38">
      <pivotArea dataOnly="0" labelOnly="1" outline="0" axis="axisValues" fieldPosition="0"/>
    </format>
    <format dxfId="37">
      <pivotArea collapsedLevelsAreSubtotals="1" fieldPosition="0">
        <references count="1">
          <reference field="29" count="9">
            <x v="1"/>
            <x v="2"/>
            <x v="3"/>
            <x v="4"/>
            <x v="5"/>
            <x v="6"/>
            <x v="7"/>
            <x v="8"/>
            <x v="9"/>
          </reference>
        </references>
      </pivotArea>
    </format>
  </formats>
  <chartFormats count="7">
    <chartFormat chart="1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45" format="7" series="1">
      <pivotArea type="data" outline="0" fieldPosition="0">
        <references count="1">
          <reference field="4294967294" count="1" selected="0">
            <x v="0"/>
          </reference>
        </references>
      </pivotArea>
    </chartFormat>
    <chartFormat chart="45" format="8">
      <pivotArea type="data" outline="0" fieldPosition="0">
        <references count="2">
          <reference field="4294967294" count="1" selected="0">
            <x v="0"/>
          </reference>
          <reference field="29" count="1" selected="0">
            <x v="5"/>
          </reference>
        </references>
      </pivotArea>
    </chartFormat>
    <chartFormat chart="24" format="7">
      <pivotArea type="data" outline="0" fieldPosition="0">
        <references count="2">
          <reference field="4294967294" count="1" selected="0">
            <x v="0"/>
          </reference>
          <reference field="2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3C13AB-FFF6-4D0E-865E-269E81C64BE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2" rowHeaderCaption=" ">
  <location ref="A3:B10" firstHeaderRow="1" firstDataRow="1" firstDataCol="1"/>
  <pivotFields count="30">
    <pivotField showAll="0"/>
    <pivotField numFmtId="1" showAll="0"/>
    <pivotField dataField="1"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axis="axisRow" showAll="0" sortType="ascending">
      <items count="7">
        <item x="3"/>
        <item x="5"/>
        <item x="1"/>
        <item x="0"/>
        <item x="4"/>
        <item x="2"/>
        <item t="default"/>
      </items>
      <autoSortScope>
        <pivotArea dataOnly="0" outline="0" fieldPosition="0">
          <references count="1">
            <reference field="4294967294" count="1" selected="0">
              <x v="0"/>
            </reference>
          </references>
        </pivotArea>
      </autoSortScope>
    </pivotField>
    <pivotField showAll="0"/>
    <pivotField showAll="0" sortType="ascending"/>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6"/>
  </rowFields>
  <rowItems count="7">
    <i>
      <x v="3"/>
    </i>
    <i>
      <x v="4"/>
    </i>
    <i>
      <x/>
    </i>
    <i>
      <x v="5"/>
    </i>
    <i>
      <x v="2"/>
    </i>
    <i>
      <x v="1"/>
    </i>
    <i t="grand">
      <x/>
    </i>
  </rowItems>
  <colItems count="1">
    <i/>
  </colItems>
  <dataFields count="1">
    <dataField name="Average of Salary" fld="2" subtotal="average" baseField="0" baseItem="9" numFmtId="166"/>
  </dataFields>
  <formats count="4">
    <format dxfId="36">
      <pivotArea field="16" type="button" dataOnly="0" labelOnly="1" outline="0" axis="axisRow" fieldPosition="0"/>
    </format>
    <format dxfId="35">
      <pivotArea outline="0" collapsedLevelsAreSubtotals="1" fieldPosition="0"/>
    </format>
    <format dxfId="34">
      <pivotArea dataOnly="0" labelOnly="1" outline="0" axis="axisValues" fieldPosition="0"/>
    </format>
    <format dxfId="33">
      <pivotArea collapsedLevelsAreSubtotals="1" fieldPosition="0">
        <references count="1">
          <reference field="16" count="0"/>
        </references>
      </pivotArea>
    </format>
  </formats>
  <chartFormats count="23">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16" count="1" selected="0">
            <x v="1"/>
          </reference>
        </references>
      </pivotArea>
    </chartFormat>
    <chartFormat chart="20" format="18" series="1">
      <pivotArea type="data" outline="0" fieldPosition="0">
        <references count="1">
          <reference field="4294967294" count="1" selected="0">
            <x v="0"/>
          </reference>
        </references>
      </pivotArea>
    </chartFormat>
    <chartFormat chart="20" format="19">
      <pivotArea type="data" outline="0" fieldPosition="0">
        <references count="2">
          <reference field="4294967294" count="1" selected="0">
            <x v="0"/>
          </reference>
          <reference field="16" count="1" selected="0">
            <x v="3"/>
          </reference>
        </references>
      </pivotArea>
    </chartFormat>
    <chartFormat chart="20" format="20">
      <pivotArea type="data" outline="0" fieldPosition="0">
        <references count="2">
          <reference field="4294967294" count="1" selected="0">
            <x v="0"/>
          </reference>
          <reference field="16" count="1" selected="0">
            <x v="4"/>
          </reference>
        </references>
      </pivotArea>
    </chartFormat>
    <chartFormat chart="20" format="21">
      <pivotArea type="data" outline="0" fieldPosition="0">
        <references count="2">
          <reference field="4294967294" count="1" selected="0">
            <x v="0"/>
          </reference>
          <reference field="16" count="1" selected="0">
            <x v="0"/>
          </reference>
        </references>
      </pivotArea>
    </chartFormat>
    <chartFormat chart="20" format="22">
      <pivotArea type="data" outline="0" fieldPosition="0">
        <references count="2">
          <reference field="4294967294" count="1" selected="0">
            <x v="0"/>
          </reference>
          <reference field="16" count="1" selected="0">
            <x v="5"/>
          </reference>
        </references>
      </pivotArea>
    </chartFormat>
    <chartFormat chart="20" format="23">
      <pivotArea type="data" outline="0" fieldPosition="0">
        <references count="2">
          <reference field="4294967294" count="1" selected="0">
            <x v="0"/>
          </reference>
          <reference field="16" count="1" selected="0">
            <x v="2"/>
          </reference>
        </references>
      </pivotArea>
    </chartFormat>
    <chartFormat chart="20" format="24">
      <pivotArea type="data" outline="0" fieldPosition="0">
        <references count="2">
          <reference field="4294967294" count="1" selected="0">
            <x v="0"/>
          </reference>
          <reference field="16" count="1" selected="0">
            <x v="1"/>
          </reference>
        </references>
      </pivotArea>
    </chartFormat>
    <chartFormat chart="21" format="25" series="1">
      <pivotArea type="data" outline="0" fieldPosition="0">
        <references count="1">
          <reference field="4294967294" count="1" selected="0">
            <x v="0"/>
          </reference>
        </references>
      </pivotArea>
    </chartFormat>
    <chartFormat chart="21" format="26">
      <pivotArea type="data" outline="0" fieldPosition="0">
        <references count="2">
          <reference field="4294967294" count="1" selected="0">
            <x v="0"/>
          </reference>
          <reference field="16" count="1" selected="0">
            <x v="3"/>
          </reference>
        </references>
      </pivotArea>
    </chartFormat>
    <chartFormat chart="21" format="27">
      <pivotArea type="data" outline="0" fieldPosition="0">
        <references count="2">
          <reference field="4294967294" count="1" selected="0">
            <x v="0"/>
          </reference>
          <reference field="16" count="1" selected="0">
            <x v="4"/>
          </reference>
        </references>
      </pivotArea>
    </chartFormat>
    <chartFormat chart="21" format="28">
      <pivotArea type="data" outline="0" fieldPosition="0">
        <references count="2">
          <reference field="4294967294" count="1" selected="0">
            <x v="0"/>
          </reference>
          <reference field="16" count="1" selected="0">
            <x v="0"/>
          </reference>
        </references>
      </pivotArea>
    </chartFormat>
    <chartFormat chart="21" format="29">
      <pivotArea type="data" outline="0" fieldPosition="0">
        <references count="2">
          <reference field="4294967294" count="1" selected="0">
            <x v="0"/>
          </reference>
          <reference field="16" count="1" selected="0">
            <x v="5"/>
          </reference>
        </references>
      </pivotArea>
    </chartFormat>
    <chartFormat chart="21" format="30">
      <pivotArea type="data" outline="0" fieldPosition="0">
        <references count="2">
          <reference field="4294967294" count="1" selected="0">
            <x v="0"/>
          </reference>
          <reference field="16" count="1" selected="0">
            <x v="2"/>
          </reference>
        </references>
      </pivotArea>
    </chartFormat>
    <chartFormat chart="21" format="31">
      <pivotArea type="data" outline="0" fieldPosition="0">
        <references count="2">
          <reference field="4294967294" count="1" selected="0">
            <x v="0"/>
          </reference>
          <reference field="16" count="1" selected="0">
            <x v="1"/>
          </reference>
        </references>
      </pivotArea>
    </chartFormat>
    <chartFormat chart="41" format="25" series="1">
      <pivotArea type="data" outline="0" fieldPosition="0">
        <references count="1">
          <reference field="4294967294" count="1" selected="0">
            <x v="0"/>
          </reference>
        </references>
      </pivotArea>
    </chartFormat>
    <chartFormat chart="41" format="26">
      <pivotArea type="data" outline="0" fieldPosition="0">
        <references count="2">
          <reference field="4294967294" count="1" selected="0">
            <x v="0"/>
          </reference>
          <reference field="16" count="1" selected="0">
            <x v="3"/>
          </reference>
        </references>
      </pivotArea>
    </chartFormat>
    <chartFormat chart="41" format="27">
      <pivotArea type="data" outline="0" fieldPosition="0">
        <references count="2">
          <reference field="4294967294" count="1" selected="0">
            <x v="0"/>
          </reference>
          <reference field="16" count="1" selected="0">
            <x v="4"/>
          </reference>
        </references>
      </pivotArea>
    </chartFormat>
    <chartFormat chart="41" format="28">
      <pivotArea type="data" outline="0" fieldPosition="0">
        <references count="2">
          <reference field="4294967294" count="1" selected="0">
            <x v="0"/>
          </reference>
          <reference field="16" count="1" selected="0">
            <x v="0"/>
          </reference>
        </references>
      </pivotArea>
    </chartFormat>
    <chartFormat chart="41" format="29">
      <pivotArea type="data" outline="0" fieldPosition="0">
        <references count="2">
          <reference field="4294967294" count="1" selected="0">
            <x v="0"/>
          </reference>
          <reference field="16" count="1" selected="0">
            <x v="5"/>
          </reference>
        </references>
      </pivotArea>
    </chartFormat>
    <chartFormat chart="41" format="30">
      <pivotArea type="data" outline="0" fieldPosition="0">
        <references count="2">
          <reference field="4294967294" count="1" selected="0">
            <x v="0"/>
          </reference>
          <reference field="16" count="1" selected="0">
            <x v="2"/>
          </reference>
        </references>
      </pivotArea>
    </chartFormat>
    <chartFormat chart="41" format="3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2A21C9-53D2-4C5E-9BD6-00884FCBEF3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0" rowHeaderCaption=" ">
  <location ref="A3:B13" firstHeaderRow="1" firstDataRow="1" firstDataCol="1"/>
  <pivotFields count="30">
    <pivotField showAll="0"/>
    <pivotField numFmtId="1" showAll="0"/>
    <pivotField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showAll="0"/>
    <pivotField axis="axisRow" showAll="0" sortType="ascending">
      <items count="10">
        <item x="6"/>
        <item x="4"/>
        <item x="3"/>
        <item x="2"/>
        <item x="1"/>
        <item x="0"/>
        <item x="5"/>
        <item x="8"/>
        <item x="7"/>
        <item t="default"/>
      </items>
    </pivotField>
    <pivotField dataField="1"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8"/>
  </rowFields>
  <rowItems count="10">
    <i>
      <x/>
    </i>
    <i>
      <x v="1"/>
    </i>
    <i>
      <x v="2"/>
    </i>
    <i>
      <x v="3"/>
    </i>
    <i>
      <x v="4"/>
    </i>
    <i>
      <x v="5"/>
    </i>
    <i>
      <x v="6"/>
    </i>
    <i>
      <x v="7"/>
    </i>
    <i>
      <x v="8"/>
    </i>
    <i t="grand">
      <x/>
    </i>
  </rowItems>
  <colItems count="1">
    <i/>
  </colItems>
  <dataFields count="1">
    <dataField name="Count of Performance Score" fld="19" subtotal="count" baseField="0" baseItem="0"/>
  </dataFields>
  <formats count="2">
    <format dxfId="32">
      <pivotArea outline="0" collapsedLevelsAreSubtotals="1" fieldPosition="0"/>
    </format>
    <format dxfId="31">
      <pivotArea dataOnly="0" labelOnly="1" outline="0" axis="axisValues" fieldPosition="0"/>
    </format>
  </formats>
  <chartFormats count="40">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8" count="1" selected="0">
            <x v="4"/>
          </reference>
        </references>
      </pivotArea>
    </chartFormat>
    <chartFormat chart="14" format="2">
      <pivotArea type="data" outline="0" fieldPosition="0">
        <references count="2">
          <reference field="4294967294" count="1" selected="0">
            <x v="0"/>
          </reference>
          <reference field="18" count="1" selected="0">
            <x v="7"/>
          </reference>
        </references>
      </pivotArea>
    </chartFormat>
    <chartFormat chart="14" format="3">
      <pivotArea type="data" outline="0" fieldPosition="0">
        <references count="2">
          <reference field="4294967294" count="1" selected="0">
            <x v="0"/>
          </reference>
          <reference field="18" count="1" selected="0">
            <x v="8"/>
          </reference>
        </references>
      </pivotArea>
    </chartFormat>
    <chartFormat chart="14" format="4">
      <pivotArea type="data" outline="0" fieldPosition="0">
        <references count="2">
          <reference field="4294967294" count="1" selected="0">
            <x v="0"/>
          </reference>
          <reference field="18" count="1" selected="0">
            <x v="0"/>
          </reference>
        </references>
      </pivotArea>
    </chartFormat>
    <chartFormat chart="14" format="15">
      <pivotArea type="data" outline="0" fieldPosition="0">
        <references count="2">
          <reference field="4294967294" count="1" selected="0">
            <x v="0"/>
          </reference>
          <reference field="18" count="1" selected="0">
            <x v="1"/>
          </reference>
        </references>
      </pivotArea>
    </chartFormat>
    <chartFormat chart="14" format="16">
      <pivotArea type="data" outline="0" fieldPosition="0">
        <references count="2">
          <reference field="4294967294" count="1" selected="0">
            <x v="0"/>
          </reference>
          <reference field="18" count="1" selected="0">
            <x v="2"/>
          </reference>
        </references>
      </pivotArea>
    </chartFormat>
    <chartFormat chart="14" format="17">
      <pivotArea type="data" outline="0" fieldPosition="0">
        <references count="2">
          <reference field="4294967294" count="1" selected="0">
            <x v="0"/>
          </reference>
          <reference field="18" count="1" selected="0">
            <x v="3"/>
          </reference>
        </references>
      </pivotArea>
    </chartFormat>
    <chartFormat chart="14" format="18">
      <pivotArea type="data" outline="0" fieldPosition="0">
        <references count="2">
          <reference field="4294967294" count="1" selected="0">
            <x v="0"/>
          </reference>
          <reference field="18" count="1" selected="0">
            <x v="5"/>
          </reference>
        </references>
      </pivotArea>
    </chartFormat>
    <chartFormat chart="14" format="19">
      <pivotArea type="data" outline="0" fieldPosition="0">
        <references count="2">
          <reference field="4294967294" count="1" selected="0">
            <x v="0"/>
          </reference>
          <reference field="18" count="1" selected="0">
            <x v="6"/>
          </reference>
        </references>
      </pivotArea>
    </chartFormat>
    <chartFormat chart="18" format="50" series="1">
      <pivotArea type="data" outline="0" fieldPosition="0">
        <references count="1">
          <reference field="4294967294" count="1" selected="0">
            <x v="0"/>
          </reference>
        </references>
      </pivotArea>
    </chartFormat>
    <chartFormat chart="18" format="51">
      <pivotArea type="data" outline="0" fieldPosition="0">
        <references count="2">
          <reference field="4294967294" count="1" selected="0">
            <x v="0"/>
          </reference>
          <reference field="18" count="1" selected="0">
            <x v="0"/>
          </reference>
        </references>
      </pivotArea>
    </chartFormat>
    <chartFormat chart="18" format="52">
      <pivotArea type="data" outline="0" fieldPosition="0">
        <references count="2">
          <reference field="4294967294" count="1" selected="0">
            <x v="0"/>
          </reference>
          <reference field="18" count="1" selected="0">
            <x v="1"/>
          </reference>
        </references>
      </pivotArea>
    </chartFormat>
    <chartFormat chart="18" format="53">
      <pivotArea type="data" outline="0" fieldPosition="0">
        <references count="2">
          <reference field="4294967294" count="1" selected="0">
            <x v="0"/>
          </reference>
          <reference field="18" count="1" selected="0">
            <x v="2"/>
          </reference>
        </references>
      </pivotArea>
    </chartFormat>
    <chartFormat chart="18" format="54">
      <pivotArea type="data" outline="0" fieldPosition="0">
        <references count="2">
          <reference field="4294967294" count="1" selected="0">
            <x v="0"/>
          </reference>
          <reference field="18" count="1" selected="0">
            <x v="3"/>
          </reference>
        </references>
      </pivotArea>
    </chartFormat>
    <chartFormat chart="18" format="55">
      <pivotArea type="data" outline="0" fieldPosition="0">
        <references count="2">
          <reference field="4294967294" count="1" selected="0">
            <x v="0"/>
          </reference>
          <reference field="18" count="1" selected="0">
            <x v="4"/>
          </reference>
        </references>
      </pivotArea>
    </chartFormat>
    <chartFormat chart="18" format="56">
      <pivotArea type="data" outline="0" fieldPosition="0">
        <references count="2">
          <reference field="4294967294" count="1" selected="0">
            <x v="0"/>
          </reference>
          <reference field="18" count="1" selected="0">
            <x v="5"/>
          </reference>
        </references>
      </pivotArea>
    </chartFormat>
    <chartFormat chart="18" format="57">
      <pivotArea type="data" outline="0" fieldPosition="0">
        <references count="2">
          <reference field="4294967294" count="1" selected="0">
            <x v="0"/>
          </reference>
          <reference field="18" count="1" selected="0">
            <x v="6"/>
          </reference>
        </references>
      </pivotArea>
    </chartFormat>
    <chartFormat chart="18" format="58">
      <pivotArea type="data" outline="0" fieldPosition="0">
        <references count="2">
          <reference field="4294967294" count="1" selected="0">
            <x v="0"/>
          </reference>
          <reference field="18" count="1" selected="0">
            <x v="7"/>
          </reference>
        </references>
      </pivotArea>
    </chartFormat>
    <chartFormat chart="18" format="59">
      <pivotArea type="data" outline="0" fieldPosition="0">
        <references count="2">
          <reference field="4294967294" count="1" selected="0">
            <x v="0"/>
          </reference>
          <reference field="18" count="1" selected="0">
            <x v="8"/>
          </reference>
        </references>
      </pivotArea>
    </chartFormat>
    <chartFormat chart="19" format="60" series="1">
      <pivotArea type="data" outline="0" fieldPosition="0">
        <references count="1">
          <reference field="4294967294" count="1" selected="0">
            <x v="0"/>
          </reference>
        </references>
      </pivotArea>
    </chartFormat>
    <chartFormat chart="19" format="61">
      <pivotArea type="data" outline="0" fieldPosition="0">
        <references count="2">
          <reference field="4294967294" count="1" selected="0">
            <x v="0"/>
          </reference>
          <reference field="18" count="1" selected="0">
            <x v="0"/>
          </reference>
        </references>
      </pivotArea>
    </chartFormat>
    <chartFormat chart="19" format="62">
      <pivotArea type="data" outline="0" fieldPosition="0">
        <references count="2">
          <reference field="4294967294" count="1" selected="0">
            <x v="0"/>
          </reference>
          <reference field="18" count="1" selected="0">
            <x v="1"/>
          </reference>
        </references>
      </pivotArea>
    </chartFormat>
    <chartFormat chart="19" format="63">
      <pivotArea type="data" outline="0" fieldPosition="0">
        <references count="2">
          <reference field="4294967294" count="1" selected="0">
            <x v="0"/>
          </reference>
          <reference field="18" count="1" selected="0">
            <x v="2"/>
          </reference>
        </references>
      </pivotArea>
    </chartFormat>
    <chartFormat chart="19" format="64">
      <pivotArea type="data" outline="0" fieldPosition="0">
        <references count="2">
          <reference field="4294967294" count="1" selected="0">
            <x v="0"/>
          </reference>
          <reference field="18" count="1" selected="0">
            <x v="3"/>
          </reference>
        </references>
      </pivotArea>
    </chartFormat>
    <chartFormat chart="19" format="65">
      <pivotArea type="data" outline="0" fieldPosition="0">
        <references count="2">
          <reference field="4294967294" count="1" selected="0">
            <x v="0"/>
          </reference>
          <reference field="18" count="1" selected="0">
            <x v="4"/>
          </reference>
        </references>
      </pivotArea>
    </chartFormat>
    <chartFormat chart="19" format="66">
      <pivotArea type="data" outline="0" fieldPosition="0">
        <references count="2">
          <reference field="4294967294" count="1" selected="0">
            <x v="0"/>
          </reference>
          <reference field="18" count="1" selected="0">
            <x v="5"/>
          </reference>
        </references>
      </pivotArea>
    </chartFormat>
    <chartFormat chart="19" format="67">
      <pivotArea type="data" outline="0" fieldPosition="0">
        <references count="2">
          <reference field="4294967294" count="1" selected="0">
            <x v="0"/>
          </reference>
          <reference field="18" count="1" selected="0">
            <x v="6"/>
          </reference>
        </references>
      </pivotArea>
    </chartFormat>
    <chartFormat chart="19" format="68">
      <pivotArea type="data" outline="0" fieldPosition="0">
        <references count="2">
          <reference field="4294967294" count="1" selected="0">
            <x v="0"/>
          </reference>
          <reference field="18" count="1" selected="0">
            <x v="7"/>
          </reference>
        </references>
      </pivotArea>
    </chartFormat>
    <chartFormat chart="19" format="69">
      <pivotArea type="data" outline="0" fieldPosition="0">
        <references count="2">
          <reference field="4294967294" count="1" selected="0">
            <x v="0"/>
          </reference>
          <reference field="18" count="1" selected="0">
            <x v="8"/>
          </reference>
        </references>
      </pivotArea>
    </chartFormat>
    <chartFormat chart="39" format="60" series="1">
      <pivotArea type="data" outline="0" fieldPosition="0">
        <references count="1">
          <reference field="4294967294" count="1" selected="0">
            <x v="0"/>
          </reference>
        </references>
      </pivotArea>
    </chartFormat>
    <chartFormat chart="39" format="61">
      <pivotArea type="data" outline="0" fieldPosition="0">
        <references count="2">
          <reference field="4294967294" count="1" selected="0">
            <x v="0"/>
          </reference>
          <reference field="18" count="1" selected="0">
            <x v="0"/>
          </reference>
        </references>
      </pivotArea>
    </chartFormat>
    <chartFormat chart="39" format="62">
      <pivotArea type="data" outline="0" fieldPosition="0">
        <references count="2">
          <reference field="4294967294" count="1" selected="0">
            <x v="0"/>
          </reference>
          <reference field="18" count="1" selected="0">
            <x v="1"/>
          </reference>
        </references>
      </pivotArea>
    </chartFormat>
    <chartFormat chart="39" format="63">
      <pivotArea type="data" outline="0" fieldPosition="0">
        <references count="2">
          <reference field="4294967294" count="1" selected="0">
            <x v="0"/>
          </reference>
          <reference field="18" count="1" selected="0">
            <x v="2"/>
          </reference>
        </references>
      </pivotArea>
    </chartFormat>
    <chartFormat chart="39" format="64">
      <pivotArea type="data" outline="0" fieldPosition="0">
        <references count="2">
          <reference field="4294967294" count="1" selected="0">
            <x v="0"/>
          </reference>
          <reference field="18" count="1" selected="0">
            <x v="3"/>
          </reference>
        </references>
      </pivotArea>
    </chartFormat>
    <chartFormat chart="39" format="65">
      <pivotArea type="data" outline="0" fieldPosition="0">
        <references count="2">
          <reference field="4294967294" count="1" selected="0">
            <x v="0"/>
          </reference>
          <reference field="18" count="1" selected="0">
            <x v="4"/>
          </reference>
        </references>
      </pivotArea>
    </chartFormat>
    <chartFormat chart="39" format="66">
      <pivotArea type="data" outline="0" fieldPosition="0">
        <references count="2">
          <reference field="4294967294" count="1" selected="0">
            <x v="0"/>
          </reference>
          <reference field="18" count="1" selected="0">
            <x v="5"/>
          </reference>
        </references>
      </pivotArea>
    </chartFormat>
    <chartFormat chart="39" format="67">
      <pivotArea type="data" outline="0" fieldPosition="0">
        <references count="2">
          <reference field="4294967294" count="1" selected="0">
            <x v="0"/>
          </reference>
          <reference field="18" count="1" selected="0">
            <x v="6"/>
          </reference>
        </references>
      </pivotArea>
    </chartFormat>
    <chartFormat chart="39" format="68">
      <pivotArea type="data" outline="0" fieldPosition="0">
        <references count="2">
          <reference field="4294967294" count="1" selected="0">
            <x v="0"/>
          </reference>
          <reference field="18" count="1" selected="0">
            <x v="7"/>
          </reference>
        </references>
      </pivotArea>
    </chartFormat>
    <chartFormat chart="39" format="69">
      <pivotArea type="data" outline="0" fieldPosition="0">
        <references count="2">
          <reference field="4294967294" count="1" selected="0">
            <x v="0"/>
          </reference>
          <reference field="1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EDEF61-48CE-4A05-BFAA-60A8FF84764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rowHeaderCaption=" ">
  <location ref="A3:B10" firstHeaderRow="1" firstDataRow="1" firstDataCol="1"/>
  <pivotFields count="30">
    <pivotField showAll="0"/>
    <pivotField dataField="1" numFmtId="1" showAll="0"/>
    <pivotField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axis="axisRow" showAll="0">
      <items count="7">
        <item x="3"/>
        <item x="5"/>
        <item x="1"/>
        <item x="0"/>
        <item x="4"/>
        <item x="2"/>
        <item t="default"/>
      </items>
    </pivotField>
    <pivotField showAll="0"/>
    <pivotField showAll="0"/>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6"/>
  </rowFields>
  <rowItems count="7">
    <i>
      <x/>
    </i>
    <i>
      <x v="1"/>
    </i>
    <i>
      <x v="2"/>
    </i>
    <i>
      <x v="3"/>
    </i>
    <i>
      <x v="4"/>
    </i>
    <i>
      <x v="5"/>
    </i>
    <i t="grand">
      <x/>
    </i>
  </rowItems>
  <colItems count="1">
    <i/>
  </colItems>
  <dataFields count="1">
    <dataField name="Count of Employee ID" fld="1" subtotal="count" baseField="16" baseItem="0"/>
  </dataFields>
  <formats count="2">
    <format dxfId="30">
      <pivotArea outline="0" collapsedLevelsAreSubtotals="1" fieldPosition="0"/>
    </format>
    <format dxfId="29">
      <pivotArea dataOnly="0" labelOnly="1" outline="0" axis="axisValues" fieldPosition="0"/>
    </format>
  </formats>
  <chartFormats count="35">
    <chartFormat chart="22" format="6"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25" format="14" series="1">
      <pivotArea type="data" outline="0" fieldPosition="0">
        <references count="1">
          <reference field="4294967294" count="1" selected="0">
            <x v="0"/>
          </reference>
        </references>
      </pivotArea>
    </chartFormat>
    <chartFormat chart="25" format="15">
      <pivotArea type="data" outline="0" fieldPosition="0">
        <references count="2">
          <reference field="4294967294" count="1" selected="0">
            <x v="0"/>
          </reference>
          <reference field="16" count="1" selected="0">
            <x v="0"/>
          </reference>
        </references>
      </pivotArea>
    </chartFormat>
    <chartFormat chart="25" format="16">
      <pivotArea type="data" outline="0" fieldPosition="0">
        <references count="2">
          <reference field="4294967294" count="1" selected="0">
            <x v="0"/>
          </reference>
          <reference field="16" count="1" selected="0">
            <x v="1"/>
          </reference>
        </references>
      </pivotArea>
    </chartFormat>
    <chartFormat chart="25" format="17">
      <pivotArea type="data" outline="0" fieldPosition="0">
        <references count="2">
          <reference field="4294967294" count="1" selected="0">
            <x v="0"/>
          </reference>
          <reference field="16" count="1" selected="0">
            <x v="2"/>
          </reference>
        </references>
      </pivotArea>
    </chartFormat>
    <chartFormat chart="25" format="18">
      <pivotArea type="data" outline="0" fieldPosition="0">
        <references count="2">
          <reference field="4294967294" count="1" selected="0">
            <x v="0"/>
          </reference>
          <reference field="16" count="1" selected="0">
            <x v="3"/>
          </reference>
        </references>
      </pivotArea>
    </chartFormat>
    <chartFormat chart="25" format="19">
      <pivotArea type="data" outline="0" fieldPosition="0">
        <references count="2">
          <reference field="4294967294" count="1" selected="0">
            <x v="0"/>
          </reference>
          <reference field="16" count="1" selected="0">
            <x v="4"/>
          </reference>
        </references>
      </pivotArea>
    </chartFormat>
    <chartFormat chart="25" format="20">
      <pivotArea type="data" outline="0" fieldPosition="0">
        <references count="2">
          <reference field="4294967294" count="1" selected="0">
            <x v="0"/>
          </reference>
          <reference field="16" count="1" selected="0">
            <x v="5"/>
          </reference>
        </references>
      </pivotArea>
    </chartFormat>
    <chartFormat chart="12" format="7">
      <pivotArea type="data" outline="0" fieldPosition="0">
        <references count="2">
          <reference field="4294967294" count="1" selected="0">
            <x v="0"/>
          </reference>
          <reference field="16" count="1" selected="0">
            <x v="0"/>
          </reference>
        </references>
      </pivotArea>
    </chartFormat>
    <chartFormat chart="12" format="8">
      <pivotArea type="data" outline="0" fieldPosition="0">
        <references count="2">
          <reference field="4294967294" count="1" selected="0">
            <x v="0"/>
          </reference>
          <reference field="16" count="1" selected="0">
            <x v="1"/>
          </reference>
        </references>
      </pivotArea>
    </chartFormat>
    <chartFormat chart="12" format="9">
      <pivotArea type="data" outline="0" fieldPosition="0">
        <references count="2">
          <reference field="4294967294" count="1" selected="0">
            <x v="0"/>
          </reference>
          <reference field="16" count="1" selected="0">
            <x v="2"/>
          </reference>
        </references>
      </pivotArea>
    </chartFormat>
    <chartFormat chart="12" format="10">
      <pivotArea type="data" outline="0" fieldPosition="0">
        <references count="2">
          <reference field="4294967294" count="1" selected="0">
            <x v="0"/>
          </reference>
          <reference field="16" count="1" selected="0">
            <x v="3"/>
          </reference>
        </references>
      </pivotArea>
    </chartFormat>
    <chartFormat chart="12" format="11">
      <pivotArea type="data" outline="0" fieldPosition="0">
        <references count="2">
          <reference field="4294967294" count="1" selected="0">
            <x v="0"/>
          </reference>
          <reference field="16" count="1" selected="0">
            <x v="4"/>
          </reference>
        </references>
      </pivotArea>
    </chartFormat>
    <chartFormat chart="12" format="12">
      <pivotArea type="data" outline="0" fieldPosition="0">
        <references count="2">
          <reference field="4294967294" count="1" selected="0">
            <x v="0"/>
          </reference>
          <reference field="16" count="1" selected="0">
            <x v="5"/>
          </reference>
        </references>
      </pivotArea>
    </chartFormat>
    <chartFormat chart="22" format="7">
      <pivotArea type="data" outline="0" fieldPosition="0">
        <references count="2">
          <reference field="4294967294" count="1" selected="0">
            <x v="0"/>
          </reference>
          <reference field="16" count="1" selected="0">
            <x v="0"/>
          </reference>
        </references>
      </pivotArea>
    </chartFormat>
    <chartFormat chart="22" format="8">
      <pivotArea type="data" outline="0" fieldPosition="0">
        <references count="2">
          <reference field="4294967294" count="1" selected="0">
            <x v="0"/>
          </reference>
          <reference field="16" count="1" selected="0">
            <x v="1"/>
          </reference>
        </references>
      </pivotArea>
    </chartFormat>
    <chartFormat chart="22" format="9">
      <pivotArea type="data" outline="0" fieldPosition="0">
        <references count="2">
          <reference field="4294967294" count="1" selected="0">
            <x v="0"/>
          </reference>
          <reference field="16" count="1" selected="0">
            <x v="2"/>
          </reference>
        </references>
      </pivotArea>
    </chartFormat>
    <chartFormat chart="22" format="10">
      <pivotArea type="data" outline="0" fieldPosition="0">
        <references count="2">
          <reference field="4294967294" count="1" selected="0">
            <x v="0"/>
          </reference>
          <reference field="16" count="1" selected="0">
            <x v="3"/>
          </reference>
        </references>
      </pivotArea>
    </chartFormat>
    <chartFormat chart="22" format="11">
      <pivotArea type="data" outline="0" fieldPosition="0">
        <references count="2">
          <reference field="4294967294" count="1" selected="0">
            <x v="0"/>
          </reference>
          <reference field="16" count="1" selected="0">
            <x v="4"/>
          </reference>
        </references>
      </pivotArea>
    </chartFormat>
    <chartFormat chart="22" format="12">
      <pivotArea type="data" outline="0" fieldPosition="0">
        <references count="2">
          <reference field="4294967294" count="1" selected="0">
            <x v="0"/>
          </reference>
          <reference field="16" count="1" selected="0">
            <x v="5"/>
          </reference>
        </references>
      </pivotArea>
    </chartFormat>
    <chartFormat chart="26" format="21" series="1">
      <pivotArea type="data" outline="0" fieldPosition="0">
        <references count="1">
          <reference field="4294967294" count="1" selected="0">
            <x v="0"/>
          </reference>
        </references>
      </pivotArea>
    </chartFormat>
    <chartFormat chart="26" format="22">
      <pivotArea type="data" outline="0" fieldPosition="0">
        <references count="2">
          <reference field="4294967294" count="1" selected="0">
            <x v="0"/>
          </reference>
          <reference field="16" count="1" selected="0">
            <x v="0"/>
          </reference>
        </references>
      </pivotArea>
    </chartFormat>
    <chartFormat chart="26" format="23">
      <pivotArea type="data" outline="0" fieldPosition="0">
        <references count="2">
          <reference field="4294967294" count="1" selected="0">
            <x v="0"/>
          </reference>
          <reference field="16" count="1" selected="0">
            <x v="1"/>
          </reference>
        </references>
      </pivotArea>
    </chartFormat>
    <chartFormat chart="26" format="24">
      <pivotArea type="data" outline="0" fieldPosition="0">
        <references count="2">
          <reference field="4294967294" count="1" selected="0">
            <x v="0"/>
          </reference>
          <reference field="16" count="1" selected="0">
            <x v="2"/>
          </reference>
        </references>
      </pivotArea>
    </chartFormat>
    <chartFormat chart="26" format="25">
      <pivotArea type="data" outline="0" fieldPosition="0">
        <references count="2">
          <reference field="4294967294" count="1" selected="0">
            <x v="0"/>
          </reference>
          <reference field="16" count="1" selected="0">
            <x v="3"/>
          </reference>
        </references>
      </pivotArea>
    </chartFormat>
    <chartFormat chart="26" format="26">
      <pivotArea type="data" outline="0" fieldPosition="0">
        <references count="2">
          <reference field="4294967294" count="1" selected="0">
            <x v="0"/>
          </reference>
          <reference field="16" count="1" selected="0">
            <x v="4"/>
          </reference>
        </references>
      </pivotArea>
    </chartFormat>
    <chartFormat chart="26" format="27">
      <pivotArea type="data" outline="0" fieldPosition="0">
        <references count="2">
          <reference field="4294967294" count="1" selected="0">
            <x v="0"/>
          </reference>
          <reference field="16" count="1" selected="0">
            <x v="5"/>
          </reference>
        </references>
      </pivotArea>
    </chartFormat>
    <chartFormat chart="46" format="21" series="1">
      <pivotArea type="data" outline="0" fieldPosition="0">
        <references count="1">
          <reference field="4294967294" count="1" selected="0">
            <x v="0"/>
          </reference>
        </references>
      </pivotArea>
    </chartFormat>
    <chartFormat chart="46" format="22">
      <pivotArea type="data" outline="0" fieldPosition="0">
        <references count="2">
          <reference field="4294967294" count="1" selected="0">
            <x v="0"/>
          </reference>
          <reference field="16" count="1" selected="0">
            <x v="0"/>
          </reference>
        </references>
      </pivotArea>
    </chartFormat>
    <chartFormat chart="46" format="23">
      <pivotArea type="data" outline="0" fieldPosition="0">
        <references count="2">
          <reference field="4294967294" count="1" selected="0">
            <x v="0"/>
          </reference>
          <reference field="16" count="1" selected="0">
            <x v="1"/>
          </reference>
        </references>
      </pivotArea>
    </chartFormat>
    <chartFormat chart="46" format="24">
      <pivotArea type="data" outline="0" fieldPosition="0">
        <references count="2">
          <reference field="4294967294" count="1" selected="0">
            <x v="0"/>
          </reference>
          <reference field="16" count="1" selected="0">
            <x v="2"/>
          </reference>
        </references>
      </pivotArea>
    </chartFormat>
    <chartFormat chart="46" format="25">
      <pivotArea type="data" outline="0" fieldPosition="0">
        <references count="2">
          <reference field="4294967294" count="1" selected="0">
            <x v="0"/>
          </reference>
          <reference field="16" count="1" selected="0">
            <x v="3"/>
          </reference>
        </references>
      </pivotArea>
    </chartFormat>
    <chartFormat chart="46" format="26">
      <pivotArea type="data" outline="0" fieldPosition="0">
        <references count="2">
          <reference field="4294967294" count="1" selected="0">
            <x v="0"/>
          </reference>
          <reference field="16" count="1" selected="0">
            <x v="4"/>
          </reference>
        </references>
      </pivotArea>
    </chartFormat>
    <chartFormat chart="46" format="27">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C95430-B2AE-46B8-9687-2F23E06A6F3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7" rowHeaderCaption=" ">
  <location ref="A3:D11" firstHeaderRow="1" firstDataRow="2" firstDataCol="1"/>
  <pivotFields count="30">
    <pivotField showAll="0"/>
    <pivotField dataField="1" numFmtId="1" showAll="0"/>
    <pivotField numFmtId="6" showAll="0"/>
    <pivotField showAll="0"/>
    <pivotField showAll="0"/>
    <pivotField numFmtId="1" showAll="0"/>
    <pivotField numFmtId="164" showAll="0"/>
    <pivotField axis="axisCol" showAll="0">
      <items count="3">
        <item x="1"/>
        <item x="0"/>
        <item t="default"/>
      </items>
    </pivotField>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axis="axisRow" showAll="0">
      <items count="7">
        <item x="3"/>
        <item x="5"/>
        <item x="1"/>
        <item x="0"/>
        <item x="4"/>
        <item x="2"/>
        <item t="default"/>
      </items>
    </pivotField>
    <pivotField showAll="0"/>
    <pivotField showAll="0"/>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6"/>
  </rowFields>
  <rowItems count="7">
    <i>
      <x/>
    </i>
    <i>
      <x v="1"/>
    </i>
    <i>
      <x v="2"/>
    </i>
    <i>
      <x v="3"/>
    </i>
    <i>
      <x v="4"/>
    </i>
    <i>
      <x v="5"/>
    </i>
    <i t="grand">
      <x/>
    </i>
  </rowItems>
  <colFields count="1">
    <field x="7"/>
  </colFields>
  <colItems count="3">
    <i>
      <x/>
    </i>
    <i>
      <x v="1"/>
    </i>
    <i t="grand">
      <x/>
    </i>
  </colItems>
  <dataFields count="1">
    <dataField name="Count of Employee ID" fld="1" subtotal="count" baseField="16" baseItem="0"/>
  </dataFields>
  <formats count="2">
    <format dxfId="28">
      <pivotArea outline="0" collapsedLevelsAreSubtotals="1" fieldPosition="0"/>
    </format>
    <format dxfId="27">
      <pivotArea dataOnly="0" labelOnly="1" outline="0" axis="axisValues" fieldPosition="0"/>
    </format>
  </formats>
  <chartFormats count="12">
    <chartFormat chart="10" format="0" series="1">
      <pivotArea type="data" outline="0" fieldPosition="0">
        <references count="2">
          <reference field="4294967294" count="1" selected="0">
            <x v="0"/>
          </reference>
          <reference field="7" count="1" selected="0">
            <x v="0"/>
          </reference>
        </references>
      </pivotArea>
    </chartFormat>
    <chartFormat chart="10" format="1" series="1">
      <pivotArea type="data" outline="0" fieldPosition="0">
        <references count="2">
          <reference field="4294967294" count="1" selected="0">
            <x v="0"/>
          </reference>
          <reference field="7" count="1" selected="0">
            <x v="1"/>
          </reference>
        </references>
      </pivotArea>
    </chartFormat>
    <chartFormat chart="17" format="10" series="1">
      <pivotArea type="data" outline="0" fieldPosition="0">
        <references count="2">
          <reference field="4294967294" count="1" selected="0">
            <x v="0"/>
          </reference>
          <reference field="7" count="1" selected="0">
            <x v="0"/>
          </reference>
        </references>
      </pivotArea>
    </chartFormat>
    <chartFormat chart="17" format="11" series="1">
      <pivotArea type="data" outline="0" fieldPosition="0">
        <references count="2">
          <reference field="4294967294" count="1" selected="0">
            <x v="0"/>
          </reference>
          <reference field="7" count="1" selected="0">
            <x v="1"/>
          </reference>
        </references>
      </pivotArea>
    </chartFormat>
    <chartFormat chart="21" format="14" series="1">
      <pivotArea type="data" outline="0" fieldPosition="0">
        <references count="2">
          <reference field="4294967294" count="1" selected="0">
            <x v="0"/>
          </reference>
          <reference field="7" count="1" selected="0">
            <x v="0"/>
          </reference>
        </references>
      </pivotArea>
    </chartFormat>
    <chartFormat chart="21" format="15" series="1">
      <pivotArea type="data" outline="0" fieldPosition="0">
        <references count="2">
          <reference field="4294967294" count="1" selected="0">
            <x v="0"/>
          </reference>
          <reference field="7" count="1" selected="0">
            <x v="1"/>
          </reference>
        </references>
      </pivotArea>
    </chartFormat>
    <chartFormat chart="24" format="4" series="1">
      <pivotArea type="data" outline="0" fieldPosition="0">
        <references count="2">
          <reference field="4294967294" count="1" selected="0">
            <x v="0"/>
          </reference>
          <reference field="7" count="1" selected="0">
            <x v="0"/>
          </reference>
        </references>
      </pivotArea>
    </chartFormat>
    <chartFormat chart="24" format="5" series="1">
      <pivotArea type="data" outline="0" fieldPosition="0">
        <references count="2">
          <reference field="4294967294" count="1" selected="0">
            <x v="0"/>
          </reference>
          <reference field="7" count="1" selected="0">
            <x v="1"/>
          </reference>
        </references>
      </pivotArea>
    </chartFormat>
    <chartFormat chart="24" format="6">
      <pivotArea type="data" outline="0" fieldPosition="0">
        <references count="3">
          <reference field="4294967294" count="1" selected="0">
            <x v="0"/>
          </reference>
          <reference field="7" count="1" selected="0">
            <x v="1"/>
          </reference>
          <reference field="16" count="1" selected="0">
            <x v="4"/>
          </reference>
        </references>
      </pivotArea>
    </chartFormat>
    <chartFormat chart="24" format="7">
      <pivotArea type="data" outline="0" fieldPosition="0">
        <references count="3">
          <reference field="4294967294" count="1" selected="0">
            <x v="0"/>
          </reference>
          <reference field="7" count="1" selected="0">
            <x v="0"/>
          </reference>
          <reference field="16" count="1" selected="0">
            <x v="4"/>
          </reference>
        </references>
      </pivotArea>
    </chartFormat>
    <chartFormat chart="24" format="8">
      <pivotArea type="data" outline="0" fieldPosition="0">
        <references count="3">
          <reference field="4294967294" count="1" selected="0">
            <x v="0"/>
          </reference>
          <reference field="7" count="1" selected="0">
            <x v="1"/>
          </reference>
          <reference field="16" count="1" selected="0">
            <x v="2"/>
          </reference>
        </references>
      </pivotArea>
    </chartFormat>
    <chartFormat chart="24" format="9">
      <pivotArea type="data" outline="0" fieldPosition="0">
        <references count="3">
          <reference field="4294967294" count="1" selected="0">
            <x v="0"/>
          </reference>
          <reference field="7"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414EF-B75C-4D5F-B920-4C3B925E3DD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rowHeaderCaption=" ">
  <location ref="A3:B19" firstHeaderRow="1" firstDataRow="1" firstDataCol="1"/>
  <pivotFields count="30">
    <pivotField showAll="0"/>
    <pivotField numFmtId="1" showAll="0"/>
    <pivotField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axis="axisRow" showAll="0" measureFilter="1" sortType="ascending">
      <items count="22">
        <item x="4"/>
        <item x="1"/>
        <item x="9"/>
        <item x="0"/>
        <item x="16"/>
        <item x="2"/>
        <item x="7"/>
        <item x="11"/>
        <item x="14"/>
        <item x="15"/>
        <item x="13"/>
        <item x="17"/>
        <item x="3"/>
        <item x="18"/>
        <item x="10"/>
        <item x="19"/>
        <item x="8"/>
        <item x="12"/>
        <item x="20"/>
        <item x="5"/>
        <item x="6"/>
        <item t="default"/>
      </items>
      <autoSortScope>
        <pivotArea dataOnly="0" outline="0" fieldPosition="0">
          <references count="1">
            <reference field="4294967294" count="1" selected="0">
              <x v="0"/>
            </reference>
          </references>
        </pivotArea>
      </autoSortScope>
    </pivotField>
    <pivotField showAll="0"/>
    <pivotField dataField="1"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17"/>
  </rowFields>
  <rowItems count="16">
    <i>
      <x v="20"/>
    </i>
    <i>
      <x v="4"/>
    </i>
    <i>
      <x v="2"/>
    </i>
    <i>
      <x v="8"/>
    </i>
    <i>
      <x v="1"/>
    </i>
    <i>
      <x v="10"/>
    </i>
    <i>
      <x v="6"/>
    </i>
    <i>
      <x v="14"/>
    </i>
    <i>
      <x/>
    </i>
    <i>
      <x v="19"/>
    </i>
    <i>
      <x v="7"/>
    </i>
    <i>
      <x v="16"/>
    </i>
    <i>
      <x v="5"/>
    </i>
    <i>
      <x v="3"/>
    </i>
    <i>
      <x v="12"/>
    </i>
    <i t="grand">
      <x/>
    </i>
  </rowItems>
  <colItems count="1">
    <i/>
  </colItems>
  <dataFields count="1">
    <dataField name="Count of Performance Score" fld="19" subtotal="count" baseField="17" baseItem="12"/>
  </dataFields>
  <formats count="2">
    <format dxfId="26">
      <pivotArea outline="0" collapsedLevelsAreSubtotals="1" fieldPosition="0"/>
    </format>
    <format dxfId="25">
      <pivotArea dataOnly="0" labelOnly="1" outline="0" axis="axisValues" fieldPosition="0"/>
    </format>
  </formats>
  <chartFormats count="4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17" count="1" selected="0">
            <x v="12"/>
          </reference>
        </references>
      </pivotArea>
    </chartFormat>
    <chartFormat chart="8" format="2">
      <pivotArea type="data" outline="0" fieldPosition="0">
        <references count="2">
          <reference field="4294967294" count="1" selected="0">
            <x v="0"/>
          </reference>
          <reference field="17" count="1" selected="0">
            <x v="3"/>
          </reference>
        </references>
      </pivotArea>
    </chartFormat>
    <chartFormat chart="8" format="3">
      <pivotArea type="data" outline="0" fieldPosition="0">
        <references count="2">
          <reference field="4294967294" count="1" selected="0">
            <x v="0"/>
          </reference>
          <reference field="17" count="1" selected="0">
            <x v="5"/>
          </reference>
        </references>
      </pivotArea>
    </chartFormat>
    <chartFormat chart="8" format="4">
      <pivotArea type="data" outline="0" fieldPosition="0">
        <references count="2">
          <reference field="4294967294" count="1" selected="0">
            <x v="0"/>
          </reference>
          <reference field="17" count="1" selected="0">
            <x v="16"/>
          </reference>
        </references>
      </pivotArea>
    </chartFormat>
    <chartFormat chart="8" format="5">
      <pivotArea type="data" outline="0" fieldPosition="0">
        <references count="2">
          <reference field="4294967294" count="1" selected="0">
            <x v="0"/>
          </reference>
          <reference field="17" count="1" selected="0">
            <x v="7"/>
          </reference>
        </references>
      </pivotArea>
    </chartFormat>
    <chartFormat chart="8" format="6">
      <pivotArea type="data" outline="0" fieldPosition="0">
        <references count="2">
          <reference field="4294967294" count="1" selected="0">
            <x v="0"/>
          </reference>
          <reference field="17" count="1" selected="0">
            <x v="19"/>
          </reference>
        </references>
      </pivotArea>
    </chartFormat>
    <chartFormat chart="8" format="7">
      <pivotArea type="data" outline="0" fieldPosition="0">
        <references count="2">
          <reference field="4294967294" count="1" selected="0">
            <x v="0"/>
          </reference>
          <reference field="17" count="1" selected="0">
            <x v="0"/>
          </reference>
        </references>
      </pivotArea>
    </chartFormat>
    <chartFormat chart="8" format="8">
      <pivotArea type="data" outline="0" fieldPosition="0">
        <references count="2">
          <reference field="4294967294" count="1" selected="0">
            <x v="0"/>
          </reference>
          <reference field="17" count="1" selected="0">
            <x v="14"/>
          </reference>
        </references>
      </pivotArea>
    </chartFormat>
    <chartFormat chart="8" format="9">
      <pivotArea type="data" outline="0" fieldPosition="0">
        <references count="2">
          <reference field="4294967294" count="1" selected="0">
            <x v="0"/>
          </reference>
          <reference field="17" count="1" selected="0">
            <x v="6"/>
          </reference>
        </references>
      </pivotArea>
    </chartFormat>
    <chartFormat chart="8" format="10">
      <pivotArea type="data" outline="0" fieldPosition="0">
        <references count="2">
          <reference field="4294967294" count="1" selected="0">
            <x v="0"/>
          </reference>
          <reference field="17" count="1" selected="0">
            <x v="10"/>
          </reference>
        </references>
      </pivotArea>
    </chartFormat>
    <chartFormat chart="8" format="11">
      <pivotArea type="data" outline="0" fieldPosition="0">
        <references count="2">
          <reference field="4294967294" count="1" selected="0">
            <x v="0"/>
          </reference>
          <reference field="17" count="1" selected="0">
            <x v="1"/>
          </reference>
        </references>
      </pivotArea>
    </chartFormat>
    <chartFormat chart="8" format="12">
      <pivotArea type="data" outline="0" fieldPosition="0">
        <references count="2">
          <reference field="4294967294" count="1" selected="0">
            <x v="0"/>
          </reference>
          <reference field="17" count="1" selected="0">
            <x v="8"/>
          </reference>
        </references>
      </pivotArea>
    </chartFormat>
    <chartFormat chart="8" format="13">
      <pivotArea type="data" outline="0" fieldPosition="0">
        <references count="2">
          <reference field="4294967294" count="1" selected="0">
            <x v="0"/>
          </reference>
          <reference field="17" count="1" selected="0">
            <x v="2"/>
          </reference>
        </references>
      </pivotArea>
    </chartFormat>
    <chartFormat chart="8" format="14">
      <pivotArea type="data" outline="0" fieldPosition="0">
        <references count="2">
          <reference field="4294967294" count="1" selected="0">
            <x v="0"/>
          </reference>
          <reference field="17" count="1" selected="0">
            <x v="4"/>
          </reference>
        </references>
      </pivotArea>
    </chartFormat>
    <chartFormat chart="8" format="15">
      <pivotArea type="data" outline="0" fieldPosition="0">
        <references count="2">
          <reference field="4294967294" count="1" selected="0">
            <x v="0"/>
          </reference>
          <reference field="17" count="1" selected="0">
            <x v="20"/>
          </reference>
        </references>
      </pivotArea>
    </chartFormat>
    <chartFormat chart="14" format="64" series="1">
      <pivotArea type="data" outline="0" fieldPosition="0">
        <references count="1">
          <reference field="4294967294" count="1" selected="0">
            <x v="0"/>
          </reference>
        </references>
      </pivotArea>
    </chartFormat>
    <chartFormat chart="14" format="65">
      <pivotArea type="data" outline="0" fieldPosition="0">
        <references count="2">
          <reference field="4294967294" count="1" selected="0">
            <x v="0"/>
          </reference>
          <reference field="17" count="1" selected="0">
            <x v="20"/>
          </reference>
        </references>
      </pivotArea>
    </chartFormat>
    <chartFormat chart="14" format="66">
      <pivotArea type="data" outline="0" fieldPosition="0">
        <references count="2">
          <reference field="4294967294" count="1" selected="0">
            <x v="0"/>
          </reference>
          <reference field="17" count="1" selected="0">
            <x v="4"/>
          </reference>
        </references>
      </pivotArea>
    </chartFormat>
    <chartFormat chart="14" format="67">
      <pivotArea type="data" outline="0" fieldPosition="0">
        <references count="2">
          <reference field="4294967294" count="1" selected="0">
            <x v="0"/>
          </reference>
          <reference field="17" count="1" selected="0">
            <x v="2"/>
          </reference>
        </references>
      </pivotArea>
    </chartFormat>
    <chartFormat chart="14" format="68">
      <pivotArea type="data" outline="0" fieldPosition="0">
        <references count="2">
          <reference field="4294967294" count="1" selected="0">
            <x v="0"/>
          </reference>
          <reference field="17" count="1" selected="0">
            <x v="8"/>
          </reference>
        </references>
      </pivotArea>
    </chartFormat>
    <chartFormat chart="14" format="69">
      <pivotArea type="data" outline="0" fieldPosition="0">
        <references count="2">
          <reference field="4294967294" count="1" selected="0">
            <x v="0"/>
          </reference>
          <reference field="17" count="1" selected="0">
            <x v="1"/>
          </reference>
        </references>
      </pivotArea>
    </chartFormat>
    <chartFormat chart="14" format="70">
      <pivotArea type="data" outline="0" fieldPosition="0">
        <references count="2">
          <reference field="4294967294" count="1" selected="0">
            <x v="0"/>
          </reference>
          <reference field="17" count="1" selected="0">
            <x v="10"/>
          </reference>
        </references>
      </pivotArea>
    </chartFormat>
    <chartFormat chart="14" format="71">
      <pivotArea type="data" outline="0" fieldPosition="0">
        <references count="2">
          <reference field="4294967294" count="1" selected="0">
            <x v="0"/>
          </reference>
          <reference field="17" count="1" selected="0">
            <x v="6"/>
          </reference>
        </references>
      </pivotArea>
    </chartFormat>
    <chartFormat chart="14" format="72">
      <pivotArea type="data" outline="0" fieldPosition="0">
        <references count="2">
          <reference field="4294967294" count="1" selected="0">
            <x v="0"/>
          </reference>
          <reference field="17" count="1" selected="0">
            <x v="14"/>
          </reference>
        </references>
      </pivotArea>
    </chartFormat>
    <chartFormat chart="14" format="73">
      <pivotArea type="data" outline="0" fieldPosition="0">
        <references count="2">
          <reference field="4294967294" count="1" selected="0">
            <x v="0"/>
          </reference>
          <reference field="17" count="1" selected="0">
            <x v="0"/>
          </reference>
        </references>
      </pivotArea>
    </chartFormat>
    <chartFormat chart="14" format="74">
      <pivotArea type="data" outline="0" fieldPosition="0">
        <references count="2">
          <reference field="4294967294" count="1" selected="0">
            <x v="0"/>
          </reference>
          <reference field="17" count="1" selected="0">
            <x v="19"/>
          </reference>
        </references>
      </pivotArea>
    </chartFormat>
    <chartFormat chart="14" format="75">
      <pivotArea type="data" outline="0" fieldPosition="0">
        <references count="2">
          <reference field="4294967294" count="1" selected="0">
            <x v="0"/>
          </reference>
          <reference field="17" count="1" selected="0">
            <x v="7"/>
          </reference>
        </references>
      </pivotArea>
    </chartFormat>
    <chartFormat chart="14" format="76">
      <pivotArea type="data" outline="0" fieldPosition="0">
        <references count="2">
          <reference field="4294967294" count="1" selected="0">
            <x v="0"/>
          </reference>
          <reference field="17" count="1" selected="0">
            <x v="16"/>
          </reference>
        </references>
      </pivotArea>
    </chartFormat>
    <chartFormat chart="14" format="77">
      <pivotArea type="data" outline="0" fieldPosition="0">
        <references count="2">
          <reference field="4294967294" count="1" selected="0">
            <x v="0"/>
          </reference>
          <reference field="17" count="1" selected="0">
            <x v="5"/>
          </reference>
        </references>
      </pivotArea>
    </chartFormat>
    <chartFormat chart="14" format="78">
      <pivotArea type="data" outline="0" fieldPosition="0">
        <references count="2">
          <reference field="4294967294" count="1" selected="0">
            <x v="0"/>
          </reference>
          <reference field="17" count="1" selected="0">
            <x v="3"/>
          </reference>
        </references>
      </pivotArea>
    </chartFormat>
    <chartFormat chart="14" format="79">
      <pivotArea type="data" outline="0" fieldPosition="0">
        <references count="2">
          <reference field="4294967294" count="1" selected="0">
            <x v="0"/>
          </reference>
          <reference field="17" count="1" selected="0">
            <x v="12"/>
          </reference>
        </references>
      </pivotArea>
    </chartFormat>
    <chartFormat chart="8" format="16">
      <pivotArea type="data" outline="0" fieldPosition="0">
        <references count="2">
          <reference field="4294967294" count="1" selected="0">
            <x v="0"/>
          </reference>
          <reference field="17" count="1" selected="0">
            <x v="9"/>
          </reference>
        </references>
      </pivotArea>
    </chartFormat>
    <chartFormat chart="8" format="17">
      <pivotArea type="data" outline="0" fieldPosition="0">
        <references count="2">
          <reference field="4294967294" count="1" selected="0">
            <x v="0"/>
          </reference>
          <reference field="17" count="1" selected="0">
            <x v="17"/>
          </reference>
        </references>
      </pivotArea>
    </chartFormat>
    <chartFormat chart="8" format="18">
      <pivotArea type="data" outline="0" fieldPosition="0">
        <references count="2">
          <reference field="4294967294" count="1" selected="0">
            <x v="0"/>
          </reference>
          <reference field="17" count="1" selected="0">
            <x v="13"/>
          </reference>
        </references>
      </pivotArea>
    </chartFormat>
    <chartFormat chart="14" format="80">
      <pivotArea type="data" outline="0" fieldPosition="0">
        <references count="2">
          <reference field="4294967294" count="1" selected="0">
            <x v="0"/>
          </reference>
          <reference field="17" count="1" selected="0">
            <x v="9"/>
          </reference>
        </references>
      </pivotArea>
    </chartFormat>
    <chartFormat chart="14" format="81">
      <pivotArea type="data" outline="0" fieldPosition="0">
        <references count="2">
          <reference field="4294967294" count="1" selected="0">
            <x v="0"/>
          </reference>
          <reference field="17" count="1" selected="0">
            <x v="17"/>
          </reference>
        </references>
      </pivotArea>
    </chartFormat>
    <chartFormat chart="14" format="82">
      <pivotArea type="data" outline="0" fieldPosition="0">
        <references count="2">
          <reference field="4294967294" count="1" selected="0">
            <x v="0"/>
          </reference>
          <reference field="17" count="1" selected="0">
            <x v="13"/>
          </reference>
        </references>
      </pivotArea>
    </chartFormat>
    <chartFormat chart="15" format="83" series="1">
      <pivotArea type="data" outline="0" fieldPosition="0">
        <references count="1">
          <reference field="4294967294" count="1" selected="0">
            <x v="0"/>
          </reference>
        </references>
      </pivotArea>
    </chartFormat>
    <chartFormat chart="35" format="8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45ED32-3833-42D9-AED9-67391AC8C7A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 ">
  <location ref="A3:B6" firstHeaderRow="1" firstDataRow="1" firstDataCol="1"/>
  <pivotFields count="30">
    <pivotField showAll="0"/>
    <pivotField numFmtId="1" showAll="0"/>
    <pivotField dataField="1" numFmtId="6" showAll="0"/>
    <pivotField showAll="0"/>
    <pivotField showAll="0"/>
    <pivotField numFmtId="1" showAll="0"/>
    <pivotField numFmtId="164" showAll="0"/>
    <pivotField axis="axisRow" showAll="0">
      <items count="3">
        <item x="1"/>
        <item x="0"/>
        <item t="default"/>
      </items>
    </pivotField>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showAll="0"/>
    <pivotField showAll="0"/>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7"/>
  </rowFields>
  <rowItems count="3">
    <i>
      <x/>
    </i>
    <i>
      <x v="1"/>
    </i>
    <i t="grand">
      <x/>
    </i>
  </rowItems>
  <colItems count="1">
    <i/>
  </colItems>
  <dataFields count="1">
    <dataField name="Average of Salary" fld="2" subtotal="average" baseField="7" baseItem="0"/>
  </dataFields>
  <formats count="3">
    <format dxfId="24">
      <pivotArea outline="0" collapsedLevelsAreSubtotals="1" fieldPosition="0"/>
    </format>
    <format dxfId="23">
      <pivotArea dataOnly="0" labelOnly="1" outline="0" axis="axisValues" fieldPosition="0"/>
    </format>
    <format dxfId="22">
      <pivotArea collapsedLevelsAreSubtotals="1" fieldPosition="0">
        <references count="1">
          <reference field="7" count="0"/>
        </references>
      </pivotArea>
    </format>
  </formats>
  <chartFormats count="5">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32D752-5452-4443-84AF-B47E9F98DA6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rowHeaderCaption=" ">
  <location ref="A3:B10" firstHeaderRow="1" firstDataRow="1" firstDataCol="1"/>
  <pivotFields count="30">
    <pivotField showAll="0"/>
    <pivotField numFmtId="1" showAll="0"/>
    <pivotField dataField="1" numFmtId="6" showAll="0"/>
    <pivotField showAll="0"/>
    <pivotField showAll="0"/>
    <pivotField numFmtId="1" showAll="0"/>
    <pivotField numFmtId="164" showAll="0"/>
    <pivotField showAll="0"/>
    <pivotField showAll="0"/>
    <pivotField axis="axisRow" showAll="0">
      <items count="7">
        <item x="4"/>
        <item x="3"/>
        <item x="1"/>
        <item x="5"/>
        <item x="2"/>
        <item x="0"/>
        <item t="default"/>
      </items>
    </pivotField>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showAll="0"/>
    <pivotField showAll="0"/>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9"/>
  </rowFields>
  <rowItems count="7">
    <i>
      <x/>
    </i>
    <i>
      <x v="1"/>
    </i>
    <i>
      <x v="2"/>
    </i>
    <i>
      <x v="3"/>
    </i>
    <i>
      <x v="4"/>
    </i>
    <i>
      <x v="5"/>
    </i>
    <i t="grand">
      <x/>
    </i>
  </rowItems>
  <colItems count="1">
    <i/>
  </colItems>
  <dataFields count="1">
    <dataField name="Average of Salary" fld="2" subtotal="average" baseField="16" baseItem="0"/>
  </dataFields>
  <formats count="3">
    <format dxfId="21">
      <pivotArea outline="0" collapsedLevelsAreSubtotals="1" fieldPosition="0"/>
    </format>
    <format dxfId="20">
      <pivotArea dataOnly="0" labelOnly="1" outline="0" axis="axisValues" fieldPosition="0"/>
    </format>
    <format dxfId="19">
      <pivotArea collapsedLevelsAreSubtotals="1" fieldPosition="0">
        <references count="1">
          <reference field="9" count="0"/>
        </references>
      </pivotArea>
    </format>
  </formats>
  <chartFormats count="2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9" count="1" selected="0">
            <x v="5"/>
          </reference>
        </references>
      </pivotArea>
    </chartFormat>
    <chartFormat chart="3" format="12">
      <pivotArea type="data" outline="0" fieldPosition="0">
        <references count="2">
          <reference field="4294967294" count="1" selected="0">
            <x v="0"/>
          </reference>
          <reference field="9" count="1" selected="0">
            <x v="0"/>
          </reference>
        </references>
      </pivotArea>
    </chartFormat>
    <chartFormat chart="3" format="13">
      <pivotArea type="data" outline="0" fieldPosition="0">
        <references count="2">
          <reference field="4294967294" count="1" selected="0">
            <x v="0"/>
          </reference>
          <reference field="9" count="1" selected="0">
            <x v="1"/>
          </reference>
        </references>
      </pivotArea>
    </chartFormat>
    <chartFormat chart="3" format="14">
      <pivotArea type="data" outline="0" fieldPosition="0">
        <references count="2">
          <reference field="4294967294" count="1" selected="0">
            <x v="0"/>
          </reference>
          <reference field="9" count="1" selected="0">
            <x v="2"/>
          </reference>
        </references>
      </pivotArea>
    </chartFormat>
    <chartFormat chart="3" format="15">
      <pivotArea type="data" outline="0" fieldPosition="0">
        <references count="2">
          <reference field="4294967294" count="1" selected="0">
            <x v="0"/>
          </reference>
          <reference field="9" count="1" selected="0">
            <x v="3"/>
          </reference>
        </references>
      </pivotArea>
    </chartFormat>
    <chartFormat chart="3" format="16">
      <pivotArea type="data" outline="0" fieldPosition="0">
        <references count="2">
          <reference field="4294967294" count="1" selected="0">
            <x v="0"/>
          </reference>
          <reference field="9" count="1" selected="0">
            <x v="4"/>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9" count="1" selected="0">
            <x v="0"/>
          </reference>
        </references>
      </pivotArea>
    </chartFormat>
    <chartFormat chart="9" format="26">
      <pivotArea type="data" outline="0" fieldPosition="0">
        <references count="2">
          <reference field="4294967294" count="1" selected="0">
            <x v="0"/>
          </reference>
          <reference field="9" count="1" selected="0">
            <x v="1"/>
          </reference>
        </references>
      </pivotArea>
    </chartFormat>
    <chartFormat chart="9" format="27">
      <pivotArea type="data" outline="0" fieldPosition="0">
        <references count="2">
          <reference field="4294967294" count="1" selected="0">
            <x v="0"/>
          </reference>
          <reference field="9" count="1" selected="0">
            <x v="2"/>
          </reference>
        </references>
      </pivotArea>
    </chartFormat>
    <chartFormat chart="9" format="28">
      <pivotArea type="data" outline="0" fieldPosition="0">
        <references count="2">
          <reference field="4294967294" count="1" selected="0">
            <x v="0"/>
          </reference>
          <reference field="9" count="1" selected="0">
            <x v="3"/>
          </reference>
        </references>
      </pivotArea>
    </chartFormat>
    <chartFormat chart="9" format="29">
      <pivotArea type="data" outline="0" fieldPosition="0">
        <references count="2">
          <reference field="4294967294" count="1" selected="0">
            <x v="0"/>
          </reference>
          <reference field="9" count="1" selected="0">
            <x v="4"/>
          </reference>
        </references>
      </pivotArea>
    </chartFormat>
    <chartFormat chart="9" format="30">
      <pivotArea type="data" outline="0" fieldPosition="0">
        <references count="2">
          <reference field="4294967294" count="1" selected="0">
            <x v="0"/>
          </reference>
          <reference field="9" count="1" selected="0">
            <x v="5"/>
          </reference>
        </references>
      </pivotArea>
    </chartFormat>
    <chartFormat chart="13" format="31" series="1">
      <pivotArea type="data" outline="0" fieldPosition="0">
        <references count="1">
          <reference field="4294967294" count="1" selected="0">
            <x v="0"/>
          </reference>
        </references>
      </pivotArea>
    </chartFormat>
    <chartFormat chart="13" format="32">
      <pivotArea type="data" outline="0" fieldPosition="0">
        <references count="2">
          <reference field="4294967294" count="1" selected="0">
            <x v="0"/>
          </reference>
          <reference field="9" count="1" selected="0">
            <x v="0"/>
          </reference>
        </references>
      </pivotArea>
    </chartFormat>
    <chartFormat chart="13" format="33">
      <pivotArea type="data" outline="0" fieldPosition="0">
        <references count="2">
          <reference field="4294967294" count="1" selected="0">
            <x v="0"/>
          </reference>
          <reference field="9" count="1" selected="0">
            <x v="1"/>
          </reference>
        </references>
      </pivotArea>
    </chartFormat>
    <chartFormat chart="13" format="34">
      <pivotArea type="data" outline="0" fieldPosition="0">
        <references count="2">
          <reference field="4294967294" count="1" selected="0">
            <x v="0"/>
          </reference>
          <reference field="9" count="1" selected="0">
            <x v="2"/>
          </reference>
        </references>
      </pivotArea>
    </chartFormat>
    <chartFormat chart="13" format="35">
      <pivotArea type="data" outline="0" fieldPosition="0">
        <references count="2">
          <reference field="4294967294" count="1" selected="0">
            <x v="0"/>
          </reference>
          <reference field="9" count="1" selected="0">
            <x v="3"/>
          </reference>
        </references>
      </pivotArea>
    </chartFormat>
    <chartFormat chart="13" format="36">
      <pivotArea type="data" outline="0" fieldPosition="0">
        <references count="2">
          <reference field="4294967294" count="1" selected="0">
            <x v="0"/>
          </reference>
          <reference field="9" count="1" selected="0">
            <x v="4"/>
          </reference>
        </references>
      </pivotArea>
    </chartFormat>
    <chartFormat chart="13" format="37">
      <pivotArea type="data" outline="0" fieldPosition="0">
        <references count="2">
          <reference field="4294967294" count="1" selected="0">
            <x v="0"/>
          </reference>
          <reference field="9" count="1" selected="0">
            <x v="5"/>
          </reference>
        </references>
      </pivotArea>
    </chartFormat>
    <chartFormat chart="33" format="31" series="1">
      <pivotArea type="data" outline="0" fieldPosition="0">
        <references count="1">
          <reference field="4294967294" count="1" selected="0">
            <x v="0"/>
          </reference>
        </references>
      </pivotArea>
    </chartFormat>
    <chartFormat chart="33" format="32">
      <pivotArea type="data" outline="0" fieldPosition="0">
        <references count="2">
          <reference field="4294967294" count="1" selected="0">
            <x v="0"/>
          </reference>
          <reference field="9" count="1" selected="0">
            <x v="0"/>
          </reference>
        </references>
      </pivotArea>
    </chartFormat>
    <chartFormat chart="33" format="33">
      <pivotArea type="data" outline="0" fieldPosition="0">
        <references count="2">
          <reference field="4294967294" count="1" selected="0">
            <x v="0"/>
          </reference>
          <reference field="9" count="1" selected="0">
            <x v="1"/>
          </reference>
        </references>
      </pivotArea>
    </chartFormat>
    <chartFormat chart="33" format="34">
      <pivotArea type="data" outline="0" fieldPosition="0">
        <references count="2">
          <reference field="4294967294" count="1" selected="0">
            <x v="0"/>
          </reference>
          <reference field="9" count="1" selected="0">
            <x v="2"/>
          </reference>
        </references>
      </pivotArea>
    </chartFormat>
    <chartFormat chart="33" format="35">
      <pivotArea type="data" outline="0" fieldPosition="0">
        <references count="2">
          <reference field="4294967294" count="1" selected="0">
            <x v="0"/>
          </reference>
          <reference field="9" count="1" selected="0">
            <x v="3"/>
          </reference>
        </references>
      </pivotArea>
    </chartFormat>
    <chartFormat chart="33" format="36">
      <pivotArea type="data" outline="0" fieldPosition="0">
        <references count="2">
          <reference field="4294967294" count="1" selected="0">
            <x v="0"/>
          </reference>
          <reference field="9" count="1" selected="0">
            <x v="4"/>
          </reference>
        </references>
      </pivotArea>
    </chartFormat>
    <chartFormat chart="33" format="37">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D1F6BF-76A0-4272-84CF-7159A24806D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B14" firstHeaderRow="1" firstDataRow="1" firstDataCol="1"/>
  <pivotFields count="30">
    <pivotField axis="axisRow" showAll="0" measureFilter="1" sortType="ascending">
      <items count="3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82"/>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14"/>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t="default"/>
      </items>
      <autoSortScope>
        <pivotArea dataOnly="0" outline="0" fieldPosition="0">
          <references count="1">
            <reference field="4294967294" count="1" selected="0">
              <x v="0"/>
            </reference>
          </references>
        </pivotArea>
      </autoSortScope>
    </pivotField>
    <pivotField numFmtId="1" showAll="0" measureFilter="1" sortType="ascending">
      <items count="312">
        <item x="36"/>
        <item x="5"/>
        <item x="22"/>
        <item x="174"/>
        <item x="212"/>
        <item x="77"/>
        <item x="125"/>
        <item x="170"/>
        <item x="141"/>
        <item x="308"/>
        <item x="232"/>
        <item x="12"/>
        <item x="282"/>
        <item x="289"/>
        <item x="96"/>
        <item x="220"/>
        <item x="167"/>
        <item x="106"/>
        <item x="55"/>
        <item x="237"/>
        <item x="208"/>
        <item x="293"/>
        <item x="16"/>
        <item x="274"/>
        <item x="191"/>
        <item x="0"/>
        <item x="257"/>
        <item x="76"/>
        <item x="51"/>
        <item x="265"/>
        <item x="111"/>
        <item x="217"/>
        <item x="304"/>
        <item x="143"/>
        <item x="172"/>
        <item x="145"/>
        <item x="201"/>
        <item x="160"/>
        <item x="255"/>
        <item x="40"/>
        <item x="210"/>
        <item x="202"/>
        <item x="309"/>
        <item x="284"/>
        <item x="287"/>
        <item x="20"/>
        <item x="235"/>
        <item x="301"/>
        <item x="92"/>
        <item x="221"/>
        <item x="115"/>
        <item x="159"/>
        <item x="181"/>
        <item x="241"/>
        <item x="17"/>
        <item x="62"/>
        <item x="173"/>
        <item x="231"/>
        <item x="119"/>
        <item x="142"/>
        <item x="15"/>
        <item x="7"/>
        <item x="200"/>
        <item x="80"/>
        <item x="242"/>
        <item x="14"/>
        <item x="41"/>
        <item x="186"/>
        <item x="4"/>
        <item x="65"/>
        <item x="251"/>
        <item x="300"/>
        <item x="178"/>
        <item x="123"/>
        <item x="127"/>
        <item x="182"/>
        <item x="177"/>
        <item x="206"/>
        <item x="197"/>
        <item x="97"/>
        <item x="26"/>
        <item x="39"/>
        <item x="59"/>
        <item x="1"/>
        <item x="37"/>
        <item x="240"/>
        <item x="163"/>
        <item x="3"/>
        <item x="150"/>
        <item x="264"/>
        <item x="253"/>
        <item x="157"/>
        <item x="93"/>
        <item x="56"/>
        <item x="256"/>
        <item x="171"/>
        <item x="124"/>
        <item x="118"/>
        <item x="60"/>
        <item x="68"/>
        <item x="113"/>
        <item x="285"/>
        <item x="166"/>
        <item x="204"/>
        <item x="78"/>
        <item x="158"/>
        <item x="33"/>
        <item x="42"/>
        <item x="121"/>
        <item x="180"/>
        <item x="100"/>
        <item x="130"/>
        <item x="156"/>
        <item x="8"/>
        <item x="38"/>
        <item x="187"/>
        <item x="272"/>
        <item x="292"/>
        <item x="261"/>
        <item x="195"/>
        <item x="207"/>
        <item x="103"/>
        <item x="281"/>
        <item x="223"/>
        <item x="122"/>
        <item x="245"/>
        <item x="299"/>
        <item x="185"/>
        <item x="126"/>
        <item x="218"/>
        <item x="227"/>
        <item x="58"/>
        <item x="75"/>
        <item x="164"/>
        <item x="306"/>
        <item x="88"/>
        <item x="169"/>
        <item x="146"/>
        <item x="138"/>
        <item x="230"/>
        <item x="279"/>
        <item x="104"/>
        <item x="63"/>
        <item x="290"/>
        <item x="183"/>
        <item x="277"/>
        <item x="268"/>
        <item x="211"/>
        <item x="239"/>
        <item x="35"/>
        <item x="193"/>
        <item x="229"/>
        <item x="259"/>
        <item x="44"/>
        <item x="66"/>
        <item x="144"/>
        <item x="260"/>
        <item x="271"/>
        <item x="102"/>
        <item x="136"/>
        <item x="278"/>
        <item x="238"/>
        <item x="94"/>
        <item x="222"/>
        <item x="155"/>
        <item x="151"/>
        <item x="128"/>
        <item x="47"/>
        <item x="250"/>
        <item x="152"/>
        <item x="216"/>
        <item x="298"/>
        <item x="275"/>
        <item x="305"/>
        <item x="27"/>
        <item x="154"/>
        <item x="28"/>
        <item x="254"/>
        <item x="252"/>
        <item x="262"/>
        <item x="34"/>
        <item x="132"/>
        <item x="294"/>
        <item x="30"/>
        <item x="199"/>
        <item x="168"/>
        <item x="224"/>
        <item x="32"/>
        <item x="89"/>
        <item x="295"/>
        <item x="175"/>
        <item x="148"/>
        <item x="57"/>
        <item x="6"/>
        <item x="129"/>
        <item x="2"/>
        <item x="70"/>
        <item x="243"/>
        <item x="25"/>
        <item x="45"/>
        <item x="134"/>
        <item x="184"/>
        <item x="31"/>
        <item x="302"/>
        <item x="288"/>
        <item x="203"/>
        <item x="74"/>
        <item x="153"/>
        <item x="273"/>
        <item x="43"/>
        <item x="79"/>
        <item x="61"/>
        <item x="189"/>
        <item x="135"/>
        <item x="198"/>
        <item x="196"/>
        <item x="219"/>
        <item x="116"/>
        <item x="176"/>
        <item x="48"/>
        <item x="276"/>
        <item x="244"/>
        <item x="192"/>
        <item x="234"/>
        <item x="225"/>
        <item x="21"/>
        <item x="139"/>
        <item x="109"/>
        <item x="249"/>
        <item x="233"/>
        <item x="149"/>
        <item x="162"/>
        <item x="248"/>
        <item x="120"/>
        <item x="82"/>
        <item x="140"/>
        <item x="114"/>
        <item x="29"/>
        <item x="228"/>
        <item x="46"/>
        <item x="270"/>
        <item x="11"/>
        <item x="110"/>
        <item x="147"/>
        <item x="18"/>
        <item x="108"/>
        <item x="81"/>
        <item x="133"/>
        <item x="161"/>
        <item x="9"/>
        <item x="165"/>
        <item x="10"/>
        <item x="291"/>
        <item x="194"/>
        <item x="107"/>
        <item x="117"/>
        <item x="101"/>
        <item x="98"/>
        <item x="213"/>
        <item x="247"/>
        <item x="52"/>
        <item x="226"/>
        <item x="87"/>
        <item x="303"/>
        <item x="13"/>
        <item x="269"/>
        <item x="24"/>
        <item x="280"/>
        <item x="50"/>
        <item x="286"/>
        <item x="310"/>
        <item x="131"/>
        <item x="99"/>
        <item x="296"/>
        <item x="49"/>
        <item x="71"/>
        <item x="19"/>
        <item x="266"/>
        <item x="179"/>
        <item x="84"/>
        <item x="209"/>
        <item x="54"/>
        <item x="105"/>
        <item x="73"/>
        <item x="236"/>
        <item x="214"/>
        <item x="283"/>
        <item x="190"/>
        <item x="137"/>
        <item x="86"/>
        <item x="258"/>
        <item x="53"/>
        <item x="297"/>
        <item x="23"/>
        <item x="246"/>
        <item x="85"/>
        <item x="215"/>
        <item x="188"/>
        <item x="83"/>
        <item x="112"/>
        <item x="307"/>
        <item x="263"/>
        <item x="205"/>
        <item x="72"/>
        <item x="95"/>
        <item x="67"/>
        <item x="267"/>
        <item x="90"/>
        <item x="91"/>
        <item x="69"/>
        <item x="64"/>
        <item t="default"/>
      </items>
      <autoSortScope>
        <pivotArea dataOnly="0" outline="0" fieldPosition="0">
          <references count="1">
            <reference field="4294967294" count="1" selected="0">
              <x v="0"/>
            </reference>
          </references>
        </pivotArea>
      </autoSortScope>
    </pivotField>
    <pivotField dataField="1" numFmtId="6" showAll="0"/>
    <pivotField showAll="0"/>
    <pivotField showAll="0"/>
    <pivotField numFmtId="1" showAll="0"/>
    <pivotField numFmtId="164" showAll="0"/>
    <pivotField showAll="0"/>
    <pivotField showAll="0"/>
    <pivotField showAll="0"/>
    <pivotField numFmtId="164" showAll="0">
      <items count="15">
        <item x="0"/>
        <item x="1"/>
        <item x="2"/>
        <item x="3"/>
        <item x="4"/>
        <item x="5"/>
        <item x="6"/>
        <item x="7"/>
        <item x="8"/>
        <item x="9"/>
        <item x="10"/>
        <item x="11"/>
        <item x="12"/>
        <item x="13"/>
        <item t="default"/>
      </items>
    </pivotField>
    <pivotField numFmtId="1" showAll="0"/>
    <pivotField showAll="0"/>
    <pivotField showAll="0"/>
    <pivotField showAll="0"/>
    <pivotField showAll="0"/>
    <pivotField showAll="0">
      <items count="7">
        <item x="3"/>
        <item x="5"/>
        <item x="1"/>
        <item x="0"/>
        <item x="4"/>
        <item x="2"/>
        <item t="default"/>
      </items>
    </pivotField>
    <pivotField showAll="0"/>
    <pivotField showAll="0"/>
    <pivotField showAll="0"/>
    <pivotField numFmtId="165" showAll="0"/>
    <pivotField numFmtId="1" showAll="0"/>
    <pivotField numFmtId="1" showAll="0"/>
    <pivotField numFmtId="16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5">
        <item x="0"/>
        <item x="1"/>
        <item x="2"/>
        <item x="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0"/>
  </rowFields>
  <rowItems count="11">
    <i>
      <x v="77"/>
    </i>
    <i>
      <x v="242"/>
    </i>
    <i>
      <x v="243"/>
    </i>
    <i>
      <x v="239"/>
    </i>
    <i>
      <x v="190"/>
    </i>
    <i>
      <x v="56"/>
    </i>
    <i>
      <x v="97"/>
    </i>
    <i>
      <x v="132"/>
    </i>
    <i>
      <x v="308"/>
    </i>
    <i>
      <x v="151"/>
    </i>
    <i t="grand">
      <x/>
    </i>
  </rowItems>
  <colItems count="1">
    <i/>
  </colItems>
  <dataFields count="1">
    <dataField name="Max of Salary" fld="2" subtotal="max" baseField="0" baseItem="4" numFmtId="166"/>
  </dataFields>
  <formats count="3">
    <format dxfId="18">
      <pivotArea outline="0" collapsedLevelsAreSubtotals="1" fieldPosition="0"/>
    </format>
    <format dxfId="17">
      <pivotArea dataOnly="0" labelOnly="1" outline="0" axis="axisValues" fieldPosition="0"/>
    </format>
    <format dxfId="16">
      <pivotArea collapsedLevelsAreSubtotals="1" fieldPosition="0">
        <references count="1">
          <reference field="0" count="10">
            <x v="56"/>
            <x v="77"/>
            <x v="97"/>
            <x v="132"/>
            <x v="151"/>
            <x v="190"/>
            <x v="239"/>
            <x v="242"/>
            <x v="243"/>
            <x v="308"/>
          </reference>
        </references>
      </pivotArea>
    </format>
  </formats>
  <chartFormats count="4">
    <chartFormat chart="1" format="0" series="1">
      <pivotArea type="data" outline="0" fieldPosition="0">
        <references count="1">
          <reference field="4294967294" count="1" selected="0">
            <x v="0"/>
          </reference>
        </references>
      </pivotArea>
    </chartFormat>
    <chartFormat chart="6" format="3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2" iMeasureFld="0">
      <autoFilter ref="A1">
        <filterColumn colId="0">
          <top10 val="10" filterVal="10"/>
        </filterColumn>
      </autoFilter>
    </filter>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5CF19F-A7E0-4B55-8B6E-875AD4A237FF}" sourceName="Department">
  <pivotTables>
    <pivotTable tabId="7" name="PivotTable1"/>
    <pivotTable tabId="10" name="PivotTable1"/>
    <pivotTable tabId="4" name="PivotTable1"/>
    <pivotTable tabId="3" name="PivotTable1"/>
    <pivotTable tabId="11" name="PivotTable1"/>
    <pivotTable tabId="12" name="PivotTable1"/>
    <pivotTable tabId="6" name="PivotTable1"/>
    <pivotTable tabId="8" name="PivotTable1"/>
    <pivotTable tabId="2" name="PivotTable1"/>
    <pivotTable tabId="5" name="PivotTable1"/>
  </pivotTables>
  <data>
    <tabular pivotCacheId="1120928404">
      <items count="6">
        <i x="3" s="1"/>
        <i x="5"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DEC84FE8-2387-4C27-A284-C60AABBC4C58}" sourceName="Employment Status">
  <data>
    <tabular pivotCacheId="151260439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89655E2-398A-4E04-B110-954901DDCA74}" cache="Slicer_Department" caption="Department" rowHeight="182880"/>
  <slicer name="Employment Status 2" xr10:uid="{742CA8ED-51E8-4032-82CD-BE3A882DE5DD}" cache="Slicer_Employment_Status" caption="Employment Status"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373BDC-2F51-4753-9EBA-B70FDD5023B7}" name="HR_Data" displayName="HR_Data" ref="A1:Z312" totalsRowShown="0">
  <autoFilter ref="A1:Z312" xr:uid="{7C373BDC-2F51-4753-9EBA-B70FDD5023B7}"/>
  <tableColumns count="26">
    <tableColumn id="1" xr3:uid="{B8F5395E-977B-4F60-A8AE-16ABDD5DDCA9}" name="Employee Name"/>
    <tableColumn id="2" xr3:uid="{CF2BE83E-7C29-4B05-BE27-892EFA28D4F9}" name="Employee ID" dataDxfId="15"/>
    <tableColumn id="3" xr3:uid="{DAC75A42-93C6-4DBB-982C-2D02F64300BD}" name="Salary" dataDxfId="14"/>
    <tableColumn id="4" xr3:uid="{4BE5EDC6-06BD-4C3F-BAF9-27DE4986BA8D}" name="Position"/>
    <tableColumn id="5" xr3:uid="{82AC0FD7-A7E3-4A6E-BCAC-6B57CFC8DD14}" name="State"/>
    <tableColumn id="6" xr3:uid="{A26C05C3-51F3-4242-9ECB-14B07477B30E}" name="Zip" dataDxfId="13"/>
    <tableColumn id="7" xr3:uid="{86FA3FE5-2B11-48E0-A39A-58ED10A2578B}" name="DOB" dataDxfId="12"/>
    <tableColumn id="8" xr3:uid="{5B300C65-D99C-4170-97CD-DA0683DAFAF1}" name="Gender"/>
    <tableColumn id="9" xr3:uid="{BD36E6AF-6B5D-4E4F-9C07-FDCF462F909C}" name="Marital Desc"/>
    <tableColumn id="10" xr3:uid="{772C5752-920C-4E80-BA50-0C33F8C7CA52}" name="Race Desc"/>
    <tableColumn id="11" xr3:uid="{C53D1703-E587-4492-BF7F-E15257C28FC7}" name="Date of Hire" dataDxfId="11"/>
    <tableColumn id="12" xr3:uid="{1D6C3275-5F78-4B7E-B020-9F5B3FFAAD2E}" name="Age at Hire" dataDxfId="10">
      <calculatedColumnFormula>DATEDIF(HR_Data[[#This Row],[DOB]],HR_Data[[#This Row],[Date of Hire]],"Y")</calculatedColumnFormula>
    </tableColumn>
    <tableColumn id="13" xr3:uid="{7F09ADA1-7E64-4272-A333-B7A1E5332729}" name="Date of Termination" dataDxfId="9"/>
    <tableColumn id="26" xr3:uid="{83F91E56-6042-4BA1-AADE-F4D1E94C2D5F}" name="Tenure" dataDxfId="8">
      <calculatedColumnFormula>IFERROR(DATEDIF(HR_Data[[#This Row],[Date of Hire]],HR_Data[[#This Row],[Date of Termination]],"Y"),"")</calculatedColumnFormula>
    </tableColumn>
    <tableColumn id="14" xr3:uid="{6FA965B6-081B-431F-98C0-E02D779989EA}" name="Term/Reason"/>
    <tableColumn id="15" xr3:uid="{5AA21BA9-1CAB-4400-8A6D-6B4DE5C5AB0E}" name="Column1"/>
    <tableColumn id="16" xr3:uid="{60D90C17-95A1-4799-BBC3-663F43196BC0}" name="Department"/>
    <tableColumn id="17" xr3:uid="{F0BA38DC-6F64-4B37-8D55-25903067986F}" name="Manager Name"/>
    <tableColumn id="18" xr3:uid="{7188D81F-21E7-48E2-A4BE-F7BC433D2D6D}" name="Recruitment Source"/>
    <tableColumn id="19" xr3:uid="{C86D161B-F351-43A0-AE1C-5936414F2411}" name="Performance Score"/>
    <tableColumn id="20" xr3:uid="{AF41CA7B-84A4-44B1-AE45-08463D6EE645}" name="Engagement Survey" dataDxfId="7"/>
    <tableColumn id="21" xr3:uid="{E741E32D-2260-4E11-86F3-2DE6F2761074}" name="Emp Satisfaction" dataDxfId="6"/>
    <tableColumn id="22" xr3:uid="{CA855C0A-0AD1-4E16-A78C-CB7DF735D8A4}" name="Special Projects Count" dataDxfId="5"/>
    <tableColumn id="23" xr3:uid="{41170EA1-FC66-4356-8AFF-39238F88E9F3}" name="Last Performance Review Date" dataDxfId="4"/>
    <tableColumn id="24" xr3:uid="{82EBD191-4650-4A56-A998-CB8829691964}" name="Days Late Last 30Days" dataDxfId="3"/>
    <tableColumn id="25" xr3:uid="{B3E4ED28-E610-4146-A638-B97D9974189A}" name="Days Absen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E829-3C2E-44F6-93CE-DF35DBA555F2}">
  <dimension ref="A1:O5"/>
  <sheetViews>
    <sheetView tabSelected="1" view="pageBreakPreview" zoomScale="77" zoomScaleNormal="140" zoomScaleSheetLayoutView="77" workbookViewId="0">
      <selection activeCell="N8" sqref="N8"/>
    </sheetView>
  </sheetViews>
  <sheetFormatPr defaultRowHeight="19.5" x14ac:dyDescent="0.4"/>
  <cols>
    <col min="13" max="13" width="8.7265625" customWidth="1"/>
  </cols>
  <sheetData>
    <row r="1" spans="1:15" x14ac:dyDescent="0.4">
      <c r="A1" t="s">
        <v>470</v>
      </c>
    </row>
    <row r="4" spans="1:15" ht="23.25" x14ac:dyDescent="0.4">
      <c r="O4" s="16"/>
    </row>
    <row r="5" spans="1:15" ht="22.5" x14ac:dyDescent="0.4">
      <c r="M5" t="s">
        <v>470</v>
      </c>
      <c r="O5"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74CCA-F877-4579-A675-063C72E9C499}">
  <dimension ref="A1:D141"/>
  <sheetViews>
    <sheetView zoomScale="90" zoomScaleNormal="90" workbookViewId="0">
      <selection activeCell="D17" sqref="D17"/>
    </sheetView>
  </sheetViews>
  <sheetFormatPr defaultRowHeight="19.5" x14ac:dyDescent="0.4"/>
  <cols>
    <col min="1" max="1" width="10.26953125" bestFit="1" customWidth="1"/>
    <col min="2" max="2" width="23.90625" style="13" bestFit="1" customWidth="1"/>
    <col min="3" max="3" width="18.7265625" bestFit="1" customWidth="1"/>
    <col min="4" max="4" width="15" bestFit="1" customWidth="1"/>
    <col min="5" max="5" width="11" bestFit="1" customWidth="1"/>
    <col min="6" max="6" width="14.08984375" bestFit="1" customWidth="1"/>
    <col min="7" max="7" width="14.81640625" bestFit="1" customWidth="1"/>
    <col min="8" max="8" width="13.453125" bestFit="1" customWidth="1"/>
    <col min="9" max="9" width="10.81640625" bestFit="1" customWidth="1"/>
    <col min="10" max="10" width="14.26953125" bestFit="1" customWidth="1"/>
    <col min="11" max="11" width="16" bestFit="1" customWidth="1"/>
    <col min="12" max="12" width="17.6328125" bestFit="1" customWidth="1"/>
    <col min="13" max="13" width="14.6328125" bestFit="1" customWidth="1"/>
    <col min="14" max="14" width="14.81640625" bestFit="1" customWidth="1"/>
    <col min="15" max="15" width="18.1796875" bestFit="1" customWidth="1"/>
    <col min="16" max="16" width="11.90625" bestFit="1" customWidth="1"/>
    <col min="17" max="17" width="12.6328125" bestFit="1" customWidth="1"/>
    <col min="18" max="18" width="13.90625" bestFit="1" customWidth="1"/>
    <col min="19" max="19" width="16.36328125" bestFit="1" customWidth="1"/>
    <col min="20" max="20" width="12.54296875" bestFit="1" customWidth="1"/>
    <col min="21" max="21" width="11.81640625" bestFit="1" customWidth="1"/>
    <col min="22" max="22" width="13.6328125" bestFit="1" customWidth="1"/>
    <col min="23" max="23" width="14" bestFit="1" customWidth="1"/>
    <col min="24" max="24" width="10.36328125" bestFit="1" customWidth="1"/>
    <col min="25" max="25" width="12.453125" bestFit="1" customWidth="1"/>
    <col min="26" max="26" width="13.7265625" bestFit="1" customWidth="1"/>
    <col min="27" max="27" width="11.08984375" bestFit="1" customWidth="1"/>
    <col min="28" max="28" width="15.26953125" bestFit="1" customWidth="1"/>
    <col min="29" max="29" width="12" bestFit="1" customWidth="1"/>
    <col min="30" max="30" width="9.90625" bestFit="1" customWidth="1"/>
    <col min="31" max="31" width="9.6328125" bestFit="1" customWidth="1"/>
    <col min="32" max="32" width="15.81640625" bestFit="1" customWidth="1"/>
    <col min="33" max="33" width="15.6328125" bestFit="1" customWidth="1"/>
    <col min="34" max="34" width="14.7265625" bestFit="1" customWidth="1"/>
    <col min="35" max="35" width="11.36328125" bestFit="1" customWidth="1"/>
    <col min="36" max="36" width="15.7265625" bestFit="1" customWidth="1"/>
    <col min="37" max="37" width="9.54296875" bestFit="1" customWidth="1"/>
    <col min="38" max="38" width="12.1796875" bestFit="1" customWidth="1"/>
    <col min="39" max="39" width="14.08984375" bestFit="1" customWidth="1"/>
    <col min="40" max="40" width="13.6328125" bestFit="1" customWidth="1"/>
    <col min="41" max="41" width="13.26953125" bestFit="1" customWidth="1"/>
    <col min="42" max="42" width="14" bestFit="1" customWidth="1"/>
    <col min="43" max="43" width="11.6328125" bestFit="1" customWidth="1"/>
    <col min="44" max="44" width="14.1796875" bestFit="1" customWidth="1"/>
    <col min="45" max="45" width="16" bestFit="1" customWidth="1"/>
    <col min="46" max="46" width="8.36328125" bestFit="1" customWidth="1"/>
    <col min="47" max="47" width="15.90625" bestFit="1" customWidth="1"/>
    <col min="48" max="48" width="12.6328125" bestFit="1" customWidth="1"/>
    <col min="49" max="49" width="14.26953125" bestFit="1" customWidth="1"/>
    <col min="50" max="50" width="20.54296875" bestFit="1" customWidth="1"/>
    <col min="51" max="51" width="11.36328125" bestFit="1" customWidth="1"/>
    <col min="52" max="52" width="16.08984375" bestFit="1" customWidth="1"/>
    <col min="53" max="53" width="9.1796875" bestFit="1" customWidth="1"/>
    <col min="54" max="54" width="12.08984375" bestFit="1" customWidth="1"/>
    <col min="55" max="55" width="12.6328125" bestFit="1" customWidth="1"/>
    <col min="56" max="56" width="12" bestFit="1" customWidth="1"/>
    <col min="57" max="57" width="15.26953125" bestFit="1" customWidth="1"/>
    <col min="58" max="58" width="12.08984375" bestFit="1" customWidth="1"/>
    <col min="59" max="59" width="11.54296875" bestFit="1" customWidth="1"/>
    <col min="60" max="60" width="13" bestFit="1" customWidth="1"/>
    <col min="61" max="61" width="15.1796875" bestFit="1" customWidth="1"/>
    <col min="62" max="62" width="10.453125" bestFit="1" customWidth="1"/>
    <col min="63" max="63" width="12.90625" bestFit="1" customWidth="1"/>
    <col min="64" max="64" width="11.7265625" bestFit="1" customWidth="1"/>
    <col min="65" max="65" width="14.1796875" bestFit="1" customWidth="1"/>
    <col min="66" max="66" width="11.08984375" bestFit="1" customWidth="1"/>
    <col min="67" max="67" width="9.81640625" bestFit="1" customWidth="1"/>
    <col min="68" max="68" width="15.26953125" bestFit="1" customWidth="1"/>
    <col min="69" max="69" width="15.36328125" bestFit="1" customWidth="1"/>
    <col min="70" max="70" width="11.453125" bestFit="1" customWidth="1"/>
    <col min="71" max="71" width="11.54296875" bestFit="1" customWidth="1"/>
    <col min="72" max="72" width="13.36328125" bestFit="1" customWidth="1"/>
    <col min="73" max="73" width="13" bestFit="1" customWidth="1"/>
    <col min="74" max="74" width="14.453125" bestFit="1" customWidth="1"/>
    <col min="75" max="75" width="14" bestFit="1" customWidth="1"/>
    <col min="76" max="76" width="11.7265625" bestFit="1" customWidth="1"/>
    <col min="77" max="77" width="14.453125" bestFit="1" customWidth="1"/>
    <col min="78" max="78" width="10.7265625" bestFit="1" customWidth="1"/>
    <col min="79" max="79" width="10.90625" bestFit="1" customWidth="1"/>
    <col min="80" max="80" width="9.453125" bestFit="1" customWidth="1"/>
    <col min="81" max="81" width="10.1796875" bestFit="1" customWidth="1"/>
    <col min="82" max="82" width="10.26953125" bestFit="1" customWidth="1"/>
    <col min="83" max="83" width="14" bestFit="1" customWidth="1"/>
    <col min="84" max="84" width="12.26953125" bestFit="1" customWidth="1"/>
    <col min="85" max="85" width="11.36328125" bestFit="1" customWidth="1"/>
    <col min="86" max="86" width="11.81640625" bestFit="1" customWidth="1"/>
    <col min="87" max="87" width="15.453125" bestFit="1" customWidth="1"/>
    <col min="88" max="88" width="12.26953125" bestFit="1" customWidth="1"/>
    <col min="89" max="89" width="13.453125" bestFit="1" customWidth="1"/>
    <col min="90" max="90" width="12.08984375" bestFit="1" customWidth="1"/>
    <col min="91" max="91" width="13.1796875" bestFit="1" customWidth="1"/>
    <col min="92" max="92" width="14.36328125" bestFit="1" customWidth="1"/>
    <col min="93" max="93" width="16.26953125" bestFit="1" customWidth="1"/>
    <col min="94" max="94" width="9.08984375" bestFit="1" customWidth="1"/>
    <col min="95" max="95" width="11.90625" bestFit="1" customWidth="1"/>
    <col min="96" max="96" width="18.7265625" bestFit="1" customWidth="1"/>
    <col min="97" max="97" width="13.90625" bestFit="1" customWidth="1"/>
    <col min="98" max="98" width="11.08984375" bestFit="1" customWidth="1"/>
    <col min="99" max="99" width="10.453125" bestFit="1" customWidth="1"/>
    <col min="100" max="100" width="15.6328125" bestFit="1" customWidth="1"/>
    <col min="101" max="101" width="12.1796875" bestFit="1" customWidth="1"/>
    <col min="102" max="102" width="9.1796875" bestFit="1" customWidth="1"/>
    <col min="103" max="103" width="10.54296875" bestFit="1" customWidth="1"/>
    <col min="104" max="104" width="11.7265625" bestFit="1" customWidth="1"/>
    <col min="105" max="105" width="13.08984375" bestFit="1" customWidth="1"/>
    <col min="106" max="106" width="11.7265625" bestFit="1" customWidth="1"/>
    <col min="107" max="107" width="11.90625" bestFit="1" customWidth="1"/>
    <col min="108" max="108" width="9.90625" bestFit="1" customWidth="1"/>
    <col min="109" max="109" width="13.90625" bestFit="1" customWidth="1"/>
    <col min="110" max="110" width="13.08984375" bestFit="1" customWidth="1"/>
    <col min="111" max="111" width="11.81640625" bestFit="1" customWidth="1"/>
    <col min="112" max="112" width="11.08984375" bestFit="1" customWidth="1"/>
    <col min="113" max="113" width="12.90625" bestFit="1" customWidth="1"/>
    <col min="114" max="115" width="13.08984375" bestFit="1" customWidth="1"/>
    <col min="116" max="116" width="13.54296875" bestFit="1" customWidth="1"/>
    <col min="117" max="117" width="10.90625" bestFit="1" customWidth="1"/>
    <col min="118" max="118" width="12" bestFit="1" customWidth="1"/>
    <col min="119" max="119" width="19" bestFit="1" customWidth="1"/>
    <col min="120" max="120" width="12.36328125" bestFit="1" customWidth="1"/>
    <col min="121" max="121" width="11.36328125" bestFit="1" customWidth="1"/>
    <col min="122" max="122" width="10.90625" bestFit="1" customWidth="1"/>
    <col min="123" max="123" width="11.26953125" bestFit="1" customWidth="1"/>
    <col min="124" max="124" width="13.1796875" bestFit="1" customWidth="1"/>
    <col min="125" max="125" width="17.90625" bestFit="1" customWidth="1"/>
    <col min="126" max="126" width="14.90625" bestFit="1" customWidth="1"/>
    <col min="127" max="127" width="17.08984375" bestFit="1" customWidth="1"/>
    <col min="128" max="128" width="12.36328125" bestFit="1" customWidth="1"/>
    <col min="129" max="129" width="16" bestFit="1" customWidth="1"/>
    <col min="130" max="130" width="16.1796875" bestFit="1" customWidth="1"/>
    <col min="131" max="131" width="14.81640625" bestFit="1" customWidth="1"/>
    <col min="132" max="132" width="19.90625" bestFit="1" customWidth="1"/>
    <col min="133" max="133" width="12.08984375" bestFit="1" customWidth="1"/>
    <col min="134" max="134" width="13.6328125" bestFit="1" customWidth="1"/>
    <col min="135" max="135" width="13.54296875" bestFit="1" customWidth="1"/>
    <col min="136" max="136" width="11.81640625" bestFit="1" customWidth="1"/>
    <col min="137" max="137" width="12.1796875" bestFit="1" customWidth="1"/>
    <col min="138" max="138" width="12.7265625" bestFit="1" customWidth="1"/>
    <col min="139" max="139" width="10.6328125" bestFit="1" customWidth="1"/>
    <col min="140" max="140" width="15.54296875" bestFit="1" customWidth="1"/>
    <col min="141" max="141" width="9.54296875" bestFit="1" customWidth="1"/>
    <col min="142" max="142" width="16.54296875" bestFit="1" customWidth="1"/>
    <col min="143" max="143" width="14.36328125" bestFit="1" customWidth="1"/>
    <col min="144" max="144" width="14.90625" bestFit="1" customWidth="1"/>
    <col min="145" max="145" width="13.81640625" bestFit="1" customWidth="1"/>
    <col min="146" max="146" width="14.54296875" bestFit="1" customWidth="1"/>
    <col min="147" max="147" width="14.26953125" bestFit="1" customWidth="1"/>
    <col min="148" max="148" width="12.36328125" bestFit="1" customWidth="1"/>
    <col min="149" max="149" width="10.54296875" bestFit="1" customWidth="1"/>
    <col min="150" max="150" width="15.7265625" bestFit="1" customWidth="1"/>
    <col min="151" max="151" width="13.54296875" bestFit="1" customWidth="1"/>
    <col min="152" max="152" width="21.1796875" bestFit="1" customWidth="1"/>
    <col min="153" max="153" width="10" bestFit="1" customWidth="1"/>
    <col min="154" max="154" width="16.453125" bestFit="1" customWidth="1"/>
    <col min="155" max="155" width="14.54296875" bestFit="1" customWidth="1"/>
    <col min="156" max="156" width="15" bestFit="1" customWidth="1"/>
    <col min="157" max="157" width="15.26953125" bestFit="1" customWidth="1"/>
    <col min="158" max="158" width="13.81640625" bestFit="1" customWidth="1"/>
    <col min="159" max="159" width="10.1796875" bestFit="1" customWidth="1"/>
    <col min="160" max="160" width="10.81640625" bestFit="1" customWidth="1"/>
    <col min="161" max="161" width="15.26953125" bestFit="1" customWidth="1"/>
    <col min="162" max="162" width="13.6328125" bestFit="1" customWidth="1"/>
    <col min="163" max="163" width="17.26953125" bestFit="1" customWidth="1"/>
    <col min="164" max="164" width="14.7265625" bestFit="1" customWidth="1"/>
    <col min="165" max="165" width="8.36328125" bestFit="1" customWidth="1"/>
    <col min="166" max="166" width="11.6328125" bestFit="1" customWidth="1"/>
    <col min="167" max="167" width="17.1796875" bestFit="1" customWidth="1"/>
    <col min="168" max="168" width="14.1796875" bestFit="1" customWidth="1"/>
    <col min="169" max="169" width="14.08984375" bestFit="1" customWidth="1"/>
    <col min="170" max="170" width="11.81640625" bestFit="1" customWidth="1"/>
    <col min="171" max="171" width="14.08984375" bestFit="1" customWidth="1"/>
    <col min="172" max="172" width="13.6328125" bestFit="1" customWidth="1"/>
    <col min="173" max="173" width="15.1796875" bestFit="1" customWidth="1"/>
    <col min="174" max="174" width="11.6328125" bestFit="1" customWidth="1"/>
    <col min="175" max="175" width="12.08984375" bestFit="1" customWidth="1"/>
    <col min="176" max="176" width="12" bestFit="1" customWidth="1"/>
    <col min="177" max="177" width="13" bestFit="1" customWidth="1"/>
    <col min="178" max="178" width="17.26953125" bestFit="1" customWidth="1"/>
    <col min="179" max="179" width="15.6328125" bestFit="1" customWidth="1"/>
    <col min="180" max="180" width="16.36328125" bestFit="1" customWidth="1"/>
    <col min="181" max="181" width="13.90625" bestFit="1" customWidth="1"/>
    <col min="182" max="182" width="13.1796875" bestFit="1" customWidth="1"/>
    <col min="183" max="183" width="12.54296875" bestFit="1" customWidth="1"/>
    <col min="184" max="184" width="13.36328125" bestFit="1" customWidth="1"/>
    <col min="185" max="185" width="14.1796875" bestFit="1" customWidth="1"/>
    <col min="186" max="186" width="12" bestFit="1" customWidth="1"/>
    <col min="187" max="187" width="14.54296875" bestFit="1" customWidth="1"/>
    <col min="188" max="188" width="15.81640625" bestFit="1" customWidth="1"/>
    <col min="189" max="189" width="12.90625" bestFit="1" customWidth="1"/>
    <col min="190" max="190" width="9.26953125" bestFit="1" customWidth="1"/>
    <col min="191" max="191" width="17.1796875" bestFit="1" customWidth="1"/>
    <col min="192" max="192" width="12.08984375" bestFit="1" customWidth="1"/>
    <col min="193" max="193" width="13.453125" bestFit="1" customWidth="1"/>
    <col min="194" max="194" width="12.54296875" bestFit="1" customWidth="1"/>
    <col min="195" max="195" width="13.08984375" bestFit="1" customWidth="1"/>
    <col min="196" max="196" width="13.1796875" bestFit="1" customWidth="1"/>
    <col min="197" max="197" width="14.7265625" bestFit="1" customWidth="1"/>
    <col min="198" max="198" width="12.90625" bestFit="1" customWidth="1"/>
    <col min="199" max="199" width="11.90625" bestFit="1" customWidth="1"/>
    <col min="200" max="200" width="12.6328125" bestFit="1" customWidth="1"/>
    <col min="201" max="201" width="9.453125" bestFit="1" customWidth="1"/>
    <col min="202" max="202" width="15.453125" bestFit="1" customWidth="1"/>
    <col min="203" max="203" width="12.54296875" bestFit="1" customWidth="1"/>
    <col min="204" max="204" width="14" bestFit="1" customWidth="1"/>
    <col min="205" max="205" width="14.6328125" bestFit="1" customWidth="1"/>
    <col min="206" max="206" width="13.08984375" bestFit="1" customWidth="1"/>
    <col min="207" max="207" width="10.81640625" bestFit="1" customWidth="1"/>
    <col min="208" max="208" width="12.54296875" bestFit="1" customWidth="1"/>
    <col min="209" max="209" width="13.81640625" bestFit="1" customWidth="1"/>
    <col min="210" max="210" width="13.7265625" bestFit="1" customWidth="1"/>
    <col min="211" max="211" width="11.90625" bestFit="1" customWidth="1"/>
    <col min="212" max="212" width="11.36328125" bestFit="1" customWidth="1"/>
    <col min="213" max="213" width="12.7265625" bestFit="1" customWidth="1"/>
    <col min="214" max="214" width="14.54296875" bestFit="1" customWidth="1"/>
    <col min="215" max="215" width="14.453125" bestFit="1" customWidth="1"/>
    <col min="216" max="216" width="14.1796875" bestFit="1" customWidth="1"/>
    <col min="217" max="217" width="12.1796875" bestFit="1" customWidth="1"/>
    <col min="218" max="218" width="12.6328125" bestFit="1" customWidth="1"/>
    <col min="219" max="219" width="16.08984375" bestFit="1" customWidth="1"/>
    <col min="220" max="220" width="14.36328125" bestFit="1" customWidth="1"/>
    <col min="221" max="221" width="16.36328125" bestFit="1" customWidth="1"/>
    <col min="222" max="222" width="10.453125" bestFit="1" customWidth="1"/>
    <col min="224" max="224" width="10.08984375" bestFit="1" customWidth="1"/>
    <col min="225" max="225" width="13.1796875" bestFit="1" customWidth="1"/>
    <col min="226" max="227" width="14.08984375" bestFit="1" customWidth="1"/>
    <col min="228" max="228" width="10.453125" bestFit="1" customWidth="1"/>
    <col min="229" max="229" width="14.1796875" bestFit="1" customWidth="1"/>
    <col min="230" max="230" width="12.1796875" bestFit="1" customWidth="1"/>
    <col min="231" max="231" width="8.36328125" bestFit="1" customWidth="1"/>
    <col min="232" max="232" width="14.26953125" bestFit="1" customWidth="1"/>
    <col min="233" max="233" width="12.453125" bestFit="1" customWidth="1"/>
    <col min="234" max="234" width="12.6328125" bestFit="1" customWidth="1"/>
    <col min="235" max="235" width="14.453125" bestFit="1" customWidth="1"/>
    <col min="236" max="236" width="14.1796875" bestFit="1" customWidth="1"/>
    <col min="237" max="237" width="14.36328125" bestFit="1" customWidth="1"/>
    <col min="238" max="238" width="13.1796875" bestFit="1" customWidth="1"/>
    <col min="239" max="239" width="9.26953125" bestFit="1" customWidth="1"/>
    <col min="240" max="240" width="14.54296875" bestFit="1" customWidth="1"/>
    <col min="241" max="241" width="10.7265625" bestFit="1" customWidth="1"/>
    <col min="242" max="242" width="12.08984375" bestFit="1" customWidth="1"/>
    <col min="243" max="243" width="13.1796875" bestFit="1" customWidth="1"/>
    <col min="244" max="244" width="10.36328125" bestFit="1" customWidth="1"/>
    <col min="245" max="245" width="11.26953125" bestFit="1" customWidth="1"/>
    <col min="246" max="246" width="10.81640625" bestFit="1" customWidth="1"/>
    <col min="247" max="247" width="18.81640625" bestFit="1" customWidth="1"/>
    <col min="248" max="248" width="11" bestFit="1" customWidth="1"/>
    <col min="249" max="249" width="9.81640625" bestFit="1" customWidth="1"/>
    <col min="250" max="250" width="11.453125" bestFit="1" customWidth="1"/>
    <col min="251" max="251" width="13.26953125" bestFit="1" customWidth="1"/>
    <col min="252" max="252" width="13.6328125" bestFit="1" customWidth="1"/>
    <col min="253" max="253" width="13.1796875" bestFit="1" customWidth="1"/>
    <col min="254" max="254" width="11.26953125" bestFit="1" customWidth="1"/>
    <col min="255" max="255" width="13.36328125" bestFit="1" customWidth="1"/>
    <col min="256" max="256" width="9.90625" bestFit="1" customWidth="1"/>
    <col min="257" max="257" width="15" bestFit="1" customWidth="1"/>
    <col min="258" max="258" width="9.36328125" bestFit="1" customWidth="1"/>
    <col min="259" max="259" width="10.36328125" bestFit="1" customWidth="1"/>
    <col min="260" max="260" width="14.453125" bestFit="1" customWidth="1"/>
    <col min="261" max="261" width="11.453125" bestFit="1" customWidth="1"/>
    <col min="262" max="262" width="10.453125" bestFit="1" customWidth="1"/>
    <col min="263" max="263" width="9.81640625" bestFit="1" customWidth="1"/>
    <col min="264" max="264" width="11.26953125" bestFit="1" customWidth="1"/>
    <col min="265" max="265" width="13.453125" bestFit="1" customWidth="1"/>
    <col min="266" max="266" width="11.90625" bestFit="1" customWidth="1"/>
    <col min="267" max="267" width="15.08984375" bestFit="1" customWidth="1"/>
    <col min="268" max="268" width="17" bestFit="1" customWidth="1"/>
    <col min="269" max="269" width="16.1796875" bestFit="1" customWidth="1"/>
    <col min="270" max="270" width="14" bestFit="1" customWidth="1"/>
    <col min="271" max="271" width="10.453125" bestFit="1" customWidth="1"/>
    <col min="272" max="272" width="12.36328125" bestFit="1" customWidth="1"/>
    <col min="273" max="273" width="13.08984375" bestFit="1" customWidth="1"/>
    <col min="274" max="274" width="14.7265625" bestFit="1" customWidth="1"/>
    <col min="275" max="275" width="14.1796875" bestFit="1" customWidth="1"/>
    <col min="276" max="276" width="12.7265625" bestFit="1" customWidth="1"/>
    <col min="277" max="277" width="10.453125" bestFit="1" customWidth="1"/>
    <col min="278" max="278" width="15.36328125" bestFit="1" customWidth="1"/>
    <col min="279" max="279" width="13.453125" bestFit="1" customWidth="1"/>
    <col min="280" max="280" width="13.7265625" bestFit="1" customWidth="1"/>
    <col min="281" max="281" width="17.1796875" bestFit="1" customWidth="1"/>
    <col min="282" max="282" width="15.1796875" bestFit="1" customWidth="1"/>
    <col min="283" max="283" width="14.90625" bestFit="1" customWidth="1"/>
    <col min="284" max="284" width="13.1796875" bestFit="1" customWidth="1"/>
    <col min="285" max="285" width="9.26953125" bestFit="1" customWidth="1"/>
    <col min="286" max="286" width="16.36328125" bestFit="1" customWidth="1"/>
    <col min="287" max="287" width="11.54296875" bestFit="1" customWidth="1"/>
    <col min="288" max="288" width="12.6328125" bestFit="1" customWidth="1"/>
    <col min="289" max="289" width="11.26953125" bestFit="1" customWidth="1"/>
    <col min="290" max="290" width="13.453125" bestFit="1" customWidth="1"/>
    <col min="291" max="291" width="14" bestFit="1" customWidth="1"/>
    <col min="292" max="292" width="12" bestFit="1" customWidth="1"/>
    <col min="293" max="293" width="14.36328125" bestFit="1" customWidth="1"/>
    <col min="294" max="294" width="13.7265625" bestFit="1" customWidth="1"/>
    <col min="295" max="295" width="11.26953125" bestFit="1" customWidth="1"/>
    <col min="296" max="296" width="19.7265625" bestFit="1" customWidth="1"/>
    <col min="297" max="297" width="12" bestFit="1" customWidth="1"/>
    <col min="298" max="298" width="17.54296875" bestFit="1" customWidth="1"/>
    <col min="299" max="299" width="14.81640625" bestFit="1" customWidth="1"/>
    <col min="300" max="300" width="11.81640625" bestFit="1" customWidth="1"/>
    <col min="301" max="301" width="13.08984375" bestFit="1" customWidth="1"/>
    <col min="302" max="302" width="12.36328125" bestFit="1" customWidth="1"/>
    <col min="303" max="303" width="11" bestFit="1" customWidth="1"/>
    <col min="304" max="304" width="11.54296875" bestFit="1" customWidth="1"/>
    <col min="305" max="305" width="17.81640625" bestFit="1" customWidth="1"/>
    <col min="306" max="306" width="15.54296875" bestFit="1" customWidth="1"/>
    <col min="307" max="307" width="11.81640625" bestFit="1" customWidth="1"/>
    <col min="308" max="308" width="14.08984375" bestFit="1" customWidth="1"/>
    <col min="309" max="309" width="15.453125" bestFit="1" customWidth="1"/>
    <col min="310" max="310" width="14.6328125" bestFit="1" customWidth="1"/>
    <col min="311" max="311" width="9.7265625" bestFit="1" customWidth="1"/>
    <col min="312" max="312" width="11.7265625" bestFit="1" customWidth="1"/>
    <col min="313" max="313" width="10.26953125" bestFit="1" customWidth="1"/>
  </cols>
  <sheetData>
    <row r="1" spans="1:4" x14ac:dyDescent="0.4">
      <c r="B1" s="13" t="s">
        <v>470</v>
      </c>
    </row>
    <row r="3" spans="1:4" x14ac:dyDescent="0.4">
      <c r="A3" s="6" t="s">
        <v>470</v>
      </c>
      <c r="B3" s="14" t="s">
        <v>491</v>
      </c>
    </row>
    <row r="4" spans="1:4" x14ac:dyDescent="0.4">
      <c r="A4" s="12" t="s">
        <v>485</v>
      </c>
      <c r="B4" s="14">
        <v>3.8717948717948718</v>
      </c>
    </row>
    <row r="5" spans="1:4" x14ac:dyDescent="0.4">
      <c r="A5" s="12" t="s">
        <v>486</v>
      </c>
      <c r="B5" s="14">
        <v>3.8045977011494254</v>
      </c>
    </row>
    <row r="6" spans="1:4" x14ac:dyDescent="0.4">
      <c r="A6" s="12" t="s">
        <v>487</v>
      </c>
      <c r="B6" s="14">
        <v>4.75</v>
      </c>
    </row>
    <row r="7" spans="1:4" x14ac:dyDescent="0.4">
      <c r="A7" s="12" t="s">
        <v>488</v>
      </c>
      <c r="B7" s="14">
        <v>3.8636363636363638</v>
      </c>
    </row>
    <row r="8" spans="1:4" x14ac:dyDescent="0.4">
      <c r="A8" s="12" t="s">
        <v>489</v>
      </c>
      <c r="B8" s="14">
        <v>4.0769230769230766</v>
      </c>
    </row>
    <row r="9" spans="1:4" x14ac:dyDescent="0.4">
      <c r="A9" s="12" t="s">
        <v>490</v>
      </c>
      <c r="B9" s="14">
        <v>4.083333333333333</v>
      </c>
    </row>
    <row r="10" spans="1:4" x14ac:dyDescent="0.4">
      <c r="A10" s="12" t="s">
        <v>479</v>
      </c>
      <c r="B10" s="14">
        <v>3.9285714285714284</v>
      </c>
    </row>
    <row r="11" spans="1:4" x14ac:dyDescent="0.4">
      <c r="A11" s="12" t="s">
        <v>480</v>
      </c>
      <c r="B11" s="14">
        <v>3.7142857142857144</v>
      </c>
    </row>
    <row r="12" spans="1:4" x14ac:dyDescent="0.4">
      <c r="A12" s="12" t="s">
        <v>481</v>
      </c>
      <c r="B12" s="14">
        <v>2.5</v>
      </c>
    </row>
    <row r="13" spans="1:4" x14ac:dyDescent="0.4">
      <c r="A13" s="12" t="s">
        <v>482</v>
      </c>
      <c r="B13" s="14">
        <v>4.166666666666667</v>
      </c>
      <c r="D13" t="s">
        <v>470</v>
      </c>
    </row>
    <row r="14" spans="1:4" x14ac:dyDescent="0.4">
      <c r="A14" s="12" t="s">
        <v>483</v>
      </c>
      <c r="B14" s="14">
        <v>3.8</v>
      </c>
    </row>
    <row r="15" spans="1:4" x14ac:dyDescent="0.4">
      <c r="A15" s="12" t="s">
        <v>484</v>
      </c>
      <c r="B15" s="14">
        <v>3.8571428571428572</v>
      </c>
    </row>
    <row r="16" spans="1:4" x14ac:dyDescent="0.4">
      <c r="A16" s="12" t="s">
        <v>472</v>
      </c>
      <c r="B16" s="14">
        <v>3.8906752411575565</v>
      </c>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row>
    <row r="27" spans="2:2" x14ac:dyDescent="0.4">
      <c r="B27"/>
    </row>
    <row r="28" spans="2:2" x14ac:dyDescent="0.4">
      <c r="B28"/>
    </row>
    <row r="29" spans="2:2" x14ac:dyDescent="0.4">
      <c r="B29"/>
    </row>
    <row r="30" spans="2:2" x14ac:dyDescent="0.4">
      <c r="B30"/>
    </row>
    <row r="31" spans="2:2" x14ac:dyDescent="0.4">
      <c r="B31"/>
    </row>
    <row r="32" spans="2:2"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s="14"/>
    </row>
    <row r="78" spans="2:2" x14ac:dyDescent="0.4">
      <c r="B78" s="14"/>
    </row>
    <row r="79" spans="2:2" x14ac:dyDescent="0.4">
      <c r="B79" s="14"/>
    </row>
    <row r="80" spans="2:2" x14ac:dyDescent="0.4">
      <c r="B80" s="14"/>
    </row>
    <row r="81" spans="2:2" x14ac:dyDescent="0.4">
      <c r="B81" s="14"/>
    </row>
    <row r="82" spans="2:2" x14ac:dyDescent="0.4">
      <c r="B82" s="14"/>
    </row>
    <row r="83" spans="2:2" x14ac:dyDescent="0.4">
      <c r="B83" s="14"/>
    </row>
    <row r="84" spans="2:2" x14ac:dyDescent="0.4">
      <c r="B84" s="14"/>
    </row>
    <row r="85" spans="2:2" x14ac:dyDescent="0.4">
      <c r="B85" s="14"/>
    </row>
    <row r="86" spans="2:2" x14ac:dyDescent="0.4">
      <c r="B86" s="14"/>
    </row>
    <row r="87" spans="2:2" x14ac:dyDescent="0.4">
      <c r="B87" s="14"/>
    </row>
    <row r="88" spans="2:2" x14ac:dyDescent="0.4">
      <c r="B88" s="14"/>
    </row>
    <row r="89" spans="2:2" x14ac:dyDescent="0.4">
      <c r="B89" s="14"/>
    </row>
    <row r="90" spans="2:2" x14ac:dyDescent="0.4">
      <c r="B90" s="14"/>
    </row>
    <row r="91" spans="2:2" x14ac:dyDescent="0.4">
      <c r="B91" s="14"/>
    </row>
    <row r="92" spans="2:2" x14ac:dyDescent="0.4">
      <c r="B92" s="14"/>
    </row>
    <row r="93" spans="2:2" x14ac:dyDescent="0.4">
      <c r="B93" s="14"/>
    </row>
    <row r="94" spans="2:2" x14ac:dyDescent="0.4">
      <c r="B94" s="14"/>
    </row>
    <row r="95" spans="2:2" x14ac:dyDescent="0.4">
      <c r="B95" s="14"/>
    </row>
    <row r="96" spans="2:2" x14ac:dyDescent="0.4">
      <c r="B96" s="14"/>
    </row>
    <row r="97" spans="2:2" x14ac:dyDescent="0.4">
      <c r="B97" s="14"/>
    </row>
    <row r="98" spans="2:2" x14ac:dyDescent="0.4">
      <c r="B98" s="14"/>
    </row>
    <row r="99" spans="2:2" x14ac:dyDescent="0.4">
      <c r="B99" s="14"/>
    </row>
    <row r="100" spans="2:2" x14ac:dyDescent="0.4">
      <c r="B100" s="14"/>
    </row>
    <row r="101" spans="2:2" x14ac:dyDescent="0.4">
      <c r="B101" s="14"/>
    </row>
    <row r="102" spans="2:2" x14ac:dyDescent="0.4">
      <c r="B102" s="14"/>
    </row>
    <row r="103" spans="2:2" x14ac:dyDescent="0.4">
      <c r="B103" s="14"/>
    </row>
    <row r="104" spans="2:2" x14ac:dyDescent="0.4">
      <c r="B104" s="14"/>
    </row>
    <row r="105" spans="2:2" x14ac:dyDescent="0.4">
      <c r="B105" s="14"/>
    </row>
    <row r="106" spans="2:2" x14ac:dyDescent="0.4">
      <c r="B106" s="14"/>
    </row>
    <row r="107" spans="2:2" x14ac:dyDescent="0.4">
      <c r="B107" s="14"/>
    </row>
    <row r="108" spans="2:2" x14ac:dyDescent="0.4">
      <c r="B108" s="14"/>
    </row>
    <row r="109" spans="2:2" x14ac:dyDescent="0.4">
      <c r="B109" s="14"/>
    </row>
    <row r="110" spans="2:2" x14ac:dyDescent="0.4">
      <c r="B110" s="14"/>
    </row>
    <row r="111" spans="2:2" x14ac:dyDescent="0.4">
      <c r="B111" s="14"/>
    </row>
    <row r="112" spans="2:2" x14ac:dyDescent="0.4">
      <c r="B112" s="14"/>
    </row>
    <row r="113" spans="2:2" x14ac:dyDescent="0.4">
      <c r="B113" s="14"/>
    </row>
    <row r="114" spans="2:2" x14ac:dyDescent="0.4">
      <c r="B114" s="14"/>
    </row>
    <row r="115" spans="2:2" x14ac:dyDescent="0.4">
      <c r="B115" s="14"/>
    </row>
    <row r="116" spans="2:2" x14ac:dyDescent="0.4">
      <c r="B116" s="14"/>
    </row>
    <row r="117" spans="2:2" x14ac:dyDescent="0.4">
      <c r="B117" s="14"/>
    </row>
    <row r="118" spans="2:2" x14ac:dyDescent="0.4">
      <c r="B118" s="14"/>
    </row>
    <row r="119" spans="2:2" x14ac:dyDescent="0.4">
      <c r="B119" s="14"/>
    </row>
    <row r="120" spans="2:2" x14ac:dyDescent="0.4">
      <c r="B120" s="14"/>
    </row>
    <row r="121" spans="2:2" x14ac:dyDescent="0.4">
      <c r="B121" s="14"/>
    </row>
    <row r="122" spans="2:2" x14ac:dyDescent="0.4">
      <c r="B122" s="14"/>
    </row>
    <row r="123" spans="2:2" x14ac:dyDescent="0.4">
      <c r="B123" s="14"/>
    </row>
    <row r="124" spans="2:2" x14ac:dyDescent="0.4">
      <c r="B124" s="14"/>
    </row>
    <row r="125" spans="2:2" x14ac:dyDescent="0.4">
      <c r="B125" s="14"/>
    </row>
    <row r="126" spans="2:2" x14ac:dyDescent="0.4">
      <c r="B126" s="14"/>
    </row>
    <row r="127" spans="2:2" x14ac:dyDescent="0.4">
      <c r="B127" s="14"/>
    </row>
    <row r="128" spans="2:2" x14ac:dyDescent="0.4">
      <c r="B128" s="14"/>
    </row>
    <row r="129" spans="2:2" x14ac:dyDescent="0.4">
      <c r="B129" s="14"/>
    </row>
    <row r="130" spans="2:2" x14ac:dyDescent="0.4">
      <c r="B130" s="14"/>
    </row>
    <row r="131" spans="2:2" x14ac:dyDescent="0.4">
      <c r="B131" s="14"/>
    </row>
    <row r="132" spans="2:2" x14ac:dyDescent="0.4">
      <c r="B132" s="14"/>
    </row>
    <row r="133" spans="2:2" x14ac:dyDescent="0.4">
      <c r="B133" s="14"/>
    </row>
    <row r="134" spans="2:2" x14ac:dyDescent="0.4">
      <c r="B134" s="14"/>
    </row>
    <row r="135" spans="2:2" x14ac:dyDescent="0.4">
      <c r="B135" s="14"/>
    </row>
    <row r="136" spans="2:2" x14ac:dyDescent="0.4">
      <c r="B136" s="14"/>
    </row>
    <row r="137" spans="2:2" x14ac:dyDescent="0.4">
      <c r="B137" s="14"/>
    </row>
    <row r="138" spans="2:2" x14ac:dyDescent="0.4">
      <c r="B138" s="14"/>
    </row>
    <row r="139" spans="2:2" x14ac:dyDescent="0.4">
      <c r="B139" s="14"/>
    </row>
    <row r="140" spans="2:2" x14ac:dyDescent="0.4">
      <c r="B140" s="14"/>
    </row>
    <row r="141" spans="2:2" x14ac:dyDescent="0.4">
      <c r="B141" s="14"/>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9F6D7-DC3E-4FCF-8DD7-4E50FAB8BD90}">
  <dimension ref="A1:B29"/>
  <sheetViews>
    <sheetView zoomScale="90" zoomScaleNormal="90" workbookViewId="0">
      <selection activeCell="B4" sqref="B4:B12"/>
    </sheetView>
  </sheetViews>
  <sheetFormatPr defaultRowHeight="19.5" x14ac:dyDescent="0.4"/>
  <cols>
    <col min="1" max="1" width="10.26953125" bestFit="1" customWidth="1"/>
    <col min="2" max="2" width="16.1796875" style="8" bestFit="1" customWidth="1"/>
    <col min="3" max="3" width="18.7265625" bestFit="1" customWidth="1"/>
    <col min="4" max="4" width="15" bestFit="1" customWidth="1"/>
    <col min="5" max="5" width="11" bestFit="1" customWidth="1"/>
    <col min="6" max="6" width="14.08984375" bestFit="1" customWidth="1"/>
    <col min="7" max="7" width="14.81640625" bestFit="1" customWidth="1"/>
    <col min="8" max="8" width="13.453125" bestFit="1" customWidth="1"/>
    <col min="9" max="9" width="10.81640625" bestFit="1" customWidth="1"/>
    <col min="10" max="10" width="14.26953125" bestFit="1" customWidth="1"/>
    <col min="11" max="11" width="16" bestFit="1" customWidth="1"/>
    <col min="12" max="12" width="17.6328125" bestFit="1" customWidth="1"/>
    <col min="13" max="13" width="14.6328125" bestFit="1" customWidth="1"/>
    <col min="14" max="14" width="14.81640625" bestFit="1" customWidth="1"/>
    <col min="15" max="15" width="18.1796875" bestFit="1" customWidth="1"/>
    <col min="16" max="16" width="11.90625" bestFit="1" customWidth="1"/>
    <col min="17" max="17" width="12.6328125" bestFit="1" customWidth="1"/>
    <col min="18" max="18" width="13.90625" bestFit="1" customWidth="1"/>
    <col min="19" max="19" width="16.36328125" bestFit="1" customWidth="1"/>
    <col min="20" max="20" width="12.54296875" bestFit="1" customWidth="1"/>
    <col min="21" max="21" width="11.81640625" bestFit="1" customWidth="1"/>
    <col min="22" max="22" width="13.6328125" bestFit="1" customWidth="1"/>
    <col min="23" max="23" width="14" bestFit="1" customWidth="1"/>
    <col min="24" max="24" width="10.36328125" bestFit="1" customWidth="1"/>
    <col min="25" max="25" width="12.453125" bestFit="1" customWidth="1"/>
    <col min="26" max="26" width="13.7265625" bestFit="1" customWidth="1"/>
    <col min="27" max="27" width="11.08984375" bestFit="1" customWidth="1"/>
    <col min="28" max="28" width="15.26953125" bestFit="1" customWidth="1"/>
    <col min="29" max="29" width="12" bestFit="1" customWidth="1"/>
    <col min="30" max="30" width="9.90625" bestFit="1" customWidth="1"/>
    <col min="31" max="31" width="9.6328125" bestFit="1" customWidth="1"/>
    <col min="32" max="32" width="15.81640625" bestFit="1" customWidth="1"/>
    <col min="33" max="33" width="15.6328125" bestFit="1" customWidth="1"/>
    <col min="34" max="34" width="14.7265625" bestFit="1" customWidth="1"/>
    <col min="35" max="35" width="11.36328125" bestFit="1" customWidth="1"/>
    <col min="36" max="36" width="15.7265625" bestFit="1" customWidth="1"/>
    <col min="37" max="37" width="9.54296875" bestFit="1" customWidth="1"/>
    <col min="38" max="38" width="12.1796875" bestFit="1" customWidth="1"/>
    <col min="39" max="39" width="14.08984375" bestFit="1" customWidth="1"/>
    <col min="40" max="40" width="13.6328125" bestFit="1" customWidth="1"/>
    <col min="41" max="41" width="13.26953125" bestFit="1" customWidth="1"/>
    <col min="42" max="42" width="14" bestFit="1" customWidth="1"/>
    <col min="43" max="43" width="11.6328125" bestFit="1" customWidth="1"/>
    <col min="44" max="44" width="14.1796875" bestFit="1" customWidth="1"/>
    <col min="45" max="45" width="16" bestFit="1" customWidth="1"/>
    <col min="46" max="46" width="8.36328125" bestFit="1" customWidth="1"/>
    <col min="47" max="47" width="15.90625" bestFit="1" customWidth="1"/>
    <col min="48" max="48" width="12.6328125" bestFit="1" customWidth="1"/>
    <col min="49" max="49" width="14.26953125" bestFit="1" customWidth="1"/>
    <col min="50" max="50" width="20.54296875" bestFit="1" customWidth="1"/>
    <col min="51" max="51" width="11.36328125" bestFit="1" customWidth="1"/>
    <col min="52" max="52" width="16.08984375" bestFit="1" customWidth="1"/>
    <col min="53" max="53" width="9.1796875" bestFit="1" customWidth="1"/>
    <col min="54" max="54" width="12.08984375" bestFit="1" customWidth="1"/>
    <col min="55" max="55" width="12.6328125" bestFit="1" customWidth="1"/>
    <col min="56" max="56" width="12" bestFit="1" customWidth="1"/>
    <col min="57" max="57" width="15.26953125" bestFit="1" customWidth="1"/>
    <col min="58" max="58" width="12.08984375" bestFit="1" customWidth="1"/>
    <col min="59" max="59" width="11.54296875" bestFit="1" customWidth="1"/>
    <col min="60" max="60" width="13" bestFit="1" customWidth="1"/>
    <col min="61" max="61" width="15.1796875" bestFit="1" customWidth="1"/>
    <col min="62" max="62" width="10.453125" bestFit="1" customWidth="1"/>
    <col min="63" max="63" width="12.90625" bestFit="1" customWidth="1"/>
    <col min="64" max="64" width="11.7265625" bestFit="1" customWidth="1"/>
    <col min="65" max="65" width="14.1796875" bestFit="1" customWidth="1"/>
    <col min="66" max="66" width="11.08984375" bestFit="1" customWidth="1"/>
    <col min="67" max="67" width="9.81640625" bestFit="1" customWidth="1"/>
    <col min="68" max="68" width="15.26953125" bestFit="1" customWidth="1"/>
    <col min="69" max="69" width="15.36328125" bestFit="1" customWidth="1"/>
    <col min="70" max="70" width="11.453125" bestFit="1" customWidth="1"/>
    <col min="71" max="71" width="11.54296875" bestFit="1" customWidth="1"/>
    <col min="72" max="72" width="13.36328125" bestFit="1" customWidth="1"/>
    <col min="73" max="73" width="13" bestFit="1" customWidth="1"/>
    <col min="74" max="74" width="14.453125" bestFit="1" customWidth="1"/>
    <col min="75" max="75" width="14" bestFit="1" customWidth="1"/>
    <col min="76" max="76" width="11.7265625" bestFit="1" customWidth="1"/>
    <col min="77" max="77" width="14.453125" bestFit="1" customWidth="1"/>
    <col min="78" max="78" width="10.7265625" bestFit="1" customWidth="1"/>
    <col min="79" max="79" width="10.90625" bestFit="1" customWidth="1"/>
    <col min="80" max="80" width="9.453125" bestFit="1" customWidth="1"/>
    <col min="81" max="81" width="10.1796875" bestFit="1" customWidth="1"/>
    <col min="82" max="82" width="10.26953125" bestFit="1" customWidth="1"/>
    <col min="83" max="83" width="14" bestFit="1" customWidth="1"/>
    <col min="84" max="84" width="12.26953125" bestFit="1" customWidth="1"/>
    <col min="85" max="85" width="11.36328125" bestFit="1" customWidth="1"/>
    <col min="86" max="86" width="11.81640625" bestFit="1" customWidth="1"/>
    <col min="87" max="87" width="15.453125" bestFit="1" customWidth="1"/>
    <col min="88" max="88" width="12.26953125" bestFit="1" customWidth="1"/>
    <col min="89" max="89" width="13.453125" bestFit="1" customWidth="1"/>
    <col min="90" max="90" width="12.08984375" bestFit="1" customWidth="1"/>
    <col min="91" max="91" width="13.1796875" bestFit="1" customWidth="1"/>
    <col min="92" max="92" width="14.36328125" bestFit="1" customWidth="1"/>
    <col min="93" max="93" width="16.26953125" bestFit="1" customWidth="1"/>
    <col min="94" max="94" width="9.08984375" bestFit="1" customWidth="1"/>
    <col min="95" max="95" width="11.90625" bestFit="1" customWidth="1"/>
    <col min="96" max="96" width="18.7265625" bestFit="1" customWidth="1"/>
    <col min="97" max="97" width="13.90625" bestFit="1" customWidth="1"/>
    <col min="98" max="98" width="11.08984375" bestFit="1" customWidth="1"/>
    <col min="99" max="99" width="10.453125" bestFit="1" customWidth="1"/>
    <col min="100" max="100" width="15.6328125" bestFit="1" customWidth="1"/>
    <col min="101" max="101" width="12.1796875" bestFit="1" customWidth="1"/>
    <col min="102" max="102" width="9.1796875" bestFit="1" customWidth="1"/>
    <col min="103" max="103" width="10.54296875" bestFit="1" customWidth="1"/>
    <col min="104" max="104" width="11.7265625" bestFit="1" customWidth="1"/>
    <col min="105" max="105" width="13.08984375" bestFit="1" customWidth="1"/>
    <col min="106" max="106" width="11.7265625" bestFit="1" customWidth="1"/>
    <col min="107" max="107" width="11.90625" bestFit="1" customWidth="1"/>
    <col min="108" max="108" width="9.90625" bestFit="1" customWidth="1"/>
    <col min="109" max="109" width="13.90625" bestFit="1" customWidth="1"/>
    <col min="110" max="110" width="13.08984375" bestFit="1" customWidth="1"/>
    <col min="111" max="111" width="11.81640625" bestFit="1" customWidth="1"/>
    <col min="112" max="112" width="11.08984375" bestFit="1" customWidth="1"/>
    <col min="113" max="113" width="12.90625" bestFit="1" customWidth="1"/>
    <col min="114" max="115" width="13.08984375" bestFit="1" customWidth="1"/>
    <col min="116" max="116" width="13.54296875" bestFit="1" customWidth="1"/>
    <col min="117" max="117" width="10.90625" bestFit="1" customWidth="1"/>
    <col min="118" max="118" width="12" bestFit="1" customWidth="1"/>
    <col min="119" max="119" width="19" bestFit="1" customWidth="1"/>
    <col min="120" max="120" width="12.36328125" bestFit="1" customWidth="1"/>
    <col min="121" max="121" width="11.36328125" bestFit="1" customWidth="1"/>
    <col min="122" max="122" width="10.90625" bestFit="1" customWidth="1"/>
    <col min="123" max="123" width="11.26953125" bestFit="1" customWidth="1"/>
    <col min="124" max="124" width="13.1796875" bestFit="1" customWidth="1"/>
    <col min="125" max="125" width="17.90625" bestFit="1" customWidth="1"/>
    <col min="126" max="126" width="14.90625" bestFit="1" customWidth="1"/>
    <col min="127" max="127" width="17.08984375" bestFit="1" customWidth="1"/>
    <col min="128" max="128" width="12.36328125" bestFit="1" customWidth="1"/>
    <col min="129" max="129" width="16" bestFit="1" customWidth="1"/>
    <col min="130" max="130" width="16.1796875" bestFit="1" customWidth="1"/>
    <col min="131" max="131" width="14.81640625" bestFit="1" customWidth="1"/>
    <col min="132" max="132" width="19.90625" bestFit="1" customWidth="1"/>
    <col min="133" max="133" width="12.08984375" bestFit="1" customWidth="1"/>
    <col min="134" max="134" width="13.6328125" bestFit="1" customWidth="1"/>
    <col min="135" max="135" width="13.54296875" bestFit="1" customWidth="1"/>
    <col min="136" max="136" width="11.81640625" bestFit="1" customWidth="1"/>
    <col min="137" max="137" width="12.1796875" bestFit="1" customWidth="1"/>
    <col min="138" max="138" width="12.7265625" bestFit="1" customWidth="1"/>
    <col min="139" max="139" width="10.6328125" bestFit="1" customWidth="1"/>
    <col min="140" max="140" width="15.54296875" bestFit="1" customWidth="1"/>
    <col min="141" max="141" width="9.54296875" bestFit="1" customWidth="1"/>
    <col min="142" max="142" width="16.54296875" bestFit="1" customWidth="1"/>
    <col min="143" max="143" width="14.36328125" bestFit="1" customWidth="1"/>
    <col min="144" max="144" width="14.90625" bestFit="1" customWidth="1"/>
    <col min="145" max="145" width="13.81640625" bestFit="1" customWidth="1"/>
    <col min="146" max="146" width="14.54296875" bestFit="1" customWidth="1"/>
    <col min="147" max="147" width="14.26953125" bestFit="1" customWidth="1"/>
    <col min="148" max="148" width="12.36328125" bestFit="1" customWidth="1"/>
    <col min="149" max="149" width="10.54296875" bestFit="1" customWidth="1"/>
    <col min="150" max="150" width="15.7265625" bestFit="1" customWidth="1"/>
    <col min="151" max="151" width="13.54296875" bestFit="1" customWidth="1"/>
    <col min="152" max="152" width="21.1796875" bestFit="1" customWidth="1"/>
    <col min="153" max="153" width="10" bestFit="1" customWidth="1"/>
    <col min="154" max="154" width="16.453125" bestFit="1" customWidth="1"/>
    <col min="155" max="155" width="14.54296875" bestFit="1" customWidth="1"/>
    <col min="156" max="156" width="15" bestFit="1" customWidth="1"/>
    <col min="157" max="157" width="15.26953125" bestFit="1" customWidth="1"/>
    <col min="158" max="158" width="13.81640625" bestFit="1" customWidth="1"/>
    <col min="159" max="159" width="10.1796875" bestFit="1" customWidth="1"/>
    <col min="160" max="160" width="10.81640625" bestFit="1" customWidth="1"/>
    <col min="161" max="161" width="15.26953125" bestFit="1" customWidth="1"/>
    <col min="162" max="162" width="13.6328125" bestFit="1" customWidth="1"/>
    <col min="163" max="163" width="17.26953125" bestFit="1" customWidth="1"/>
    <col min="164" max="164" width="14.7265625" bestFit="1" customWidth="1"/>
    <col min="165" max="165" width="8.36328125" bestFit="1" customWidth="1"/>
    <col min="166" max="166" width="11.6328125" bestFit="1" customWidth="1"/>
    <col min="167" max="167" width="17.1796875" bestFit="1" customWidth="1"/>
    <col min="168" max="168" width="14.1796875" bestFit="1" customWidth="1"/>
    <col min="169" max="169" width="14.08984375" bestFit="1" customWidth="1"/>
    <col min="170" max="170" width="11.81640625" bestFit="1" customWidth="1"/>
    <col min="171" max="171" width="14.08984375" bestFit="1" customWidth="1"/>
    <col min="172" max="172" width="13.6328125" bestFit="1" customWidth="1"/>
    <col min="173" max="173" width="15.1796875" bestFit="1" customWidth="1"/>
    <col min="174" max="174" width="11.6328125" bestFit="1" customWidth="1"/>
    <col min="175" max="175" width="12.08984375" bestFit="1" customWidth="1"/>
    <col min="176" max="176" width="12" bestFit="1" customWidth="1"/>
    <col min="177" max="177" width="13" bestFit="1" customWidth="1"/>
    <col min="178" max="178" width="17.26953125" bestFit="1" customWidth="1"/>
    <col min="179" max="179" width="15.6328125" bestFit="1" customWidth="1"/>
    <col min="180" max="180" width="16.36328125" bestFit="1" customWidth="1"/>
    <col min="181" max="181" width="13.90625" bestFit="1" customWidth="1"/>
    <col min="182" max="182" width="13.1796875" bestFit="1" customWidth="1"/>
    <col min="183" max="183" width="12.54296875" bestFit="1" customWidth="1"/>
    <col min="184" max="184" width="13.36328125" bestFit="1" customWidth="1"/>
    <col min="185" max="185" width="14.1796875" bestFit="1" customWidth="1"/>
    <col min="186" max="186" width="12" bestFit="1" customWidth="1"/>
    <col min="187" max="187" width="14.54296875" bestFit="1" customWidth="1"/>
    <col min="188" max="188" width="15.81640625" bestFit="1" customWidth="1"/>
    <col min="189" max="189" width="12.90625" bestFit="1" customWidth="1"/>
    <col min="190" max="190" width="9.26953125" bestFit="1" customWidth="1"/>
    <col min="191" max="191" width="17.1796875" bestFit="1" customWidth="1"/>
    <col min="192" max="192" width="12.08984375" bestFit="1" customWidth="1"/>
    <col min="193" max="193" width="13.453125" bestFit="1" customWidth="1"/>
    <col min="194" max="194" width="12.54296875" bestFit="1" customWidth="1"/>
    <col min="195" max="195" width="13.08984375" bestFit="1" customWidth="1"/>
    <col min="196" max="196" width="13.1796875" bestFit="1" customWidth="1"/>
    <col min="197" max="197" width="14.7265625" bestFit="1" customWidth="1"/>
    <col min="198" max="198" width="12.90625" bestFit="1" customWidth="1"/>
    <col min="199" max="199" width="11.90625" bestFit="1" customWidth="1"/>
    <col min="200" max="200" width="12.6328125" bestFit="1" customWidth="1"/>
    <col min="201" max="201" width="9.453125" bestFit="1" customWidth="1"/>
    <col min="202" max="202" width="15.453125" bestFit="1" customWidth="1"/>
    <col min="203" max="203" width="12.54296875" bestFit="1" customWidth="1"/>
    <col min="204" max="204" width="14" bestFit="1" customWidth="1"/>
    <col min="205" max="205" width="14.6328125" bestFit="1" customWidth="1"/>
    <col min="206" max="206" width="13.08984375" bestFit="1" customWidth="1"/>
    <col min="207" max="207" width="10.81640625" bestFit="1" customWidth="1"/>
    <col min="208" max="208" width="12.54296875" bestFit="1" customWidth="1"/>
    <col min="209" max="209" width="13.81640625" bestFit="1" customWidth="1"/>
    <col min="210" max="210" width="13.7265625" bestFit="1" customWidth="1"/>
    <col min="211" max="211" width="11.90625" bestFit="1" customWidth="1"/>
    <col min="212" max="212" width="11.36328125" bestFit="1" customWidth="1"/>
    <col min="213" max="213" width="12.7265625" bestFit="1" customWidth="1"/>
    <col min="214" max="214" width="14.54296875" bestFit="1" customWidth="1"/>
    <col min="215" max="215" width="14.453125" bestFit="1" customWidth="1"/>
    <col min="216" max="216" width="14.1796875" bestFit="1" customWidth="1"/>
    <col min="217" max="217" width="12.1796875" bestFit="1" customWidth="1"/>
    <col min="218" max="218" width="12.6328125" bestFit="1" customWidth="1"/>
    <col min="219" max="219" width="16.08984375" bestFit="1" customWidth="1"/>
    <col min="220" max="220" width="14.36328125" bestFit="1" customWidth="1"/>
    <col min="221" max="221" width="16.36328125" bestFit="1" customWidth="1"/>
    <col min="222" max="222" width="10.453125" bestFit="1" customWidth="1"/>
    <col min="224" max="224" width="10.08984375" bestFit="1" customWidth="1"/>
    <col min="225" max="225" width="13.1796875" bestFit="1" customWidth="1"/>
    <col min="226" max="227" width="14.08984375" bestFit="1" customWidth="1"/>
    <col min="228" max="228" width="10.453125" bestFit="1" customWidth="1"/>
    <col min="229" max="229" width="14.1796875" bestFit="1" customWidth="1"/>
    <col min="230" max="230" width="12.1796875" bestFit="1" customWidth="1"/>
    <col min="231" max="231" width="8.36328125" bestFit="1" customWidth="1"/>
    <col min="232" max="232" width="14.26953125" bestFit="1" customWidth="1"/>
    <col min="233" max="233" width="12.453125" bestFit="1" customWidth="1"/>
    <col min="234" max="234" width="12.6328125" bestFit="1" customWidth="1"/>
    <col min="235" max="235" width="14.453125" bestFit="1" customWidth="1"/>
    <col min="236" max="236" width="14.1796875" bestFit="1" customWidth="1"/>
    <col min="237" max="237" width="14.36328125" bestFit="1" customWidth="1"/>
    <col min="238" max="238" width="13.1796875" bestFit="1" customWidth="1"/>
    <col min="239" max="239" width="9.26953125" bestFit="1" customWidth="1"/>
    <col min="240" max="240" width="14.54296875" bestFit="1" customWidth="1"/>
    <col min="241" max="241" width="10.7265625" bestFit="1" customWidth="1"/>
    <col min="242" max="242" width="12.08984375" bestFit="1" customWidth="1"/>
    <col min="243" max="243" width="13.1796875" bestFit="1" customWidth="1"/>
    <col min="244" max="244" width="10.36328125" bestFit="1" customWidth="1"/>
    <col min="245" max="245" width="11.26953125" bestFit="1" customWidth="1"/>
    <col min="246" max="246" width="10.81640625" bestFit="1" customWidth="1"/>
    <col min="247" max="247" width="18.81640625" bestFit="1" customWidth="1"/>
    <col min="248" max="248" width="11" bestFit="1" customWidth="1"/>
    <col min="249" max="249" width="9.81640625" bestFit="1" customWidth="1"/>
    <col min="250" max="250" width="11.453125" bestFit="1" customWidth="1"/>
    <col min="251" max="251" width="13.26953125" bestFit="1" customWidth="1"/>
    <col min="252" max="252" width="13.6328125" bestFit="1" customWidth="1"/>
    <col min="253" max="253" width="13.1796875" bestFit="1" customWidth="1"/>
    <col min="254" max="254" width="11.26953125" bestFit="1" customWidth="1"/>
    <col min="255" max="255" width="13.36328125" bestFit="1" customWidth="1"/>
    <col min="256" max="256" width="9.90625" bestFit="1" customWidth="1"/>
    <col min="257" max="257" width="15" bestFit="1" customWidth="1"/>
    <col min="258" max="258" width="9.36328125" bestFit="1" customWidth="1"/>
    <col min="259" max="259" width="10.36328125" bestFit="1" customWidth="1"/>
    <col min="260" max="260" width="14.453125" bestFit="1" customWidth="1"/>
    <col min="261" max="261" width="11.453125" bestFit="1" customWidth="1"/>
    <col min="262" max="262" width="10.453125" bestFit="1" customWidth="1"/>
    <col min="263" max="263" width="9.81640625" bestFit="1" customWidth="1"/>
    <col min="264" max="264" width="11.26953125" bestFit="1" customWidth="1"/>
    <col min="265" max="265" width="13.453125" bestFit="1" customWidth="1"/>
    <col min="266" max="266" width="11.90625" bestFit="1" customWidth="1"/>
    <col min="267" max="267" width="15.08984375" bestFit="1" customWidth="1"/>
    <col min="268" max="268" width="17" bestFit="1" customWidth="1"/>
    <col min="269" max="269" width="16.1796875" bestFit="1" customWidth="1"/>
    <col min="270" max="270" width="14" bestFit="1" customWidth="1"/>
    <col min="271" max="271" width="10.453125" bestFit="1" customWidth="1"/>
    <col min="272" max="272" width="12.36328125" bestFit="1" customWidth="1"/>
    <col min="273" max="273" width="13.08984375" bestFit="1" customWidth="1"/>
    <col min="274" max="274" width="14.7265625" bestFit="1" customWidth="1"/>
    <col min="275" max="275" width="14.1796875" bestFit="1" customWidth="1"/>
    <col min="276" max="276" width="12.7265625" bestFit="1" customWidth="1"/>
    <col min="277" max="277" width="10.453125" bestFit="1" customWidth="1"/>
    <col min="278" max="278" width="15.36328125" bestFit="1" customWidth="1"/>
    <col min="279" max="279" width="13.453125" bestFit="1" customWidth="1"/>
    <col min="280" max="280" width="13.7265625" bestFit="1" customWidth="1"/>
    <col min="281" max="281" width="17.1796875" bestFit="1" customWidth="1"/>
    <col min="282" max="282" width="15.1796875" bestFit="1" customWidth="1"/>
    <col min="283" max="283" width="14.90625" bestFit="1" customWidth="1"/>
    <col min="284" max="284" width="13.1796875" bestFit="1" customWidth="1"/>
    <col min="285" max="285" width="9.26953125" bestFit="1" customWidth="1"/>
    <col min="286" max="286" width="16.36328125" bestFit="1" customWidth="1"/>
    <col min="287" max="287" width="11.54296875" bestFit="1" customWidth="1"/>
    <col min="288" max="288" width="12.6328125" bestFit="1" customWidth="1"/>
    <col min="289" max="289" width="11.26953125" bestFit="1" customWidth="1"/>
    <col min="290" max="290" width="13.453125" bestFit="1" customWidth="1"/>
    <col min="291" max="291" width="14" bestFit="1" customWidth="1"/>
    <col min="292" max="292" width="12" bestFit="1" customWidth="1"/>
    <col min="293" max="293" width="14.36328125" bestFit="1" customWidth="1"/>
    <col min="294" max="294" width="13.7265625" bestFit="1" customWidth="1"/>
    <col min="295" max="295" width="11.26953125" bestFit="1" customWidth="1"/>
    <col min="296" max="296" width="19.7265625" bestFit="1" customWidth="1"/>
    <col min="297" max="297" width="12" bestFit="1" customWidth="1"/>
    <col min="298" max="298" width="17.54296875" bestFit="1" customWidth="1"/>
    <col min="299" max="299" width="14.81640625" bestFit="1" customWidth="1"/>
    <col min="300" max="300" width="11.81640625" bestFit="1" customWidth="1"/>
    <col min="301" max="301" width="13.08984375" bestFit="1" customWidth="1"/>
    <col min="302" max="302" width="12.36328125" bestFit="1" customWidth="1"/>
    <col min="303" max="303" width="11" bestFit="1" customWidth="1"/>
    <col min="304" max="304" width="11.54296875" bestFit="1" customWidth="1"/>
    <col min="305" max="305" width="17.81640625" bestFit="1" customWidth="1"/>
    <col min="306" max="306" width="15.54296875" bestFit="1" customWidth="1"/>
    <col min="307" max="307" width="11.81640625" bestFit="1" customWidth="1"/>
    <col min="308" max="308" width="14.08984375" bestFit="1" customWidth="1"/>
    <col min="309" max="309" width="15.453125" bestFit="1" customWidth="1"/>
    <col min="310" max="310" width="14.6328125" bestFit="1" customWidth="1"/>
    <col min="311" max="311" width="9.7265625" bestFit="1" customWidth="1"/>
    <col min="312" max="312" width="11.7265625" bestFit="1" customWidth="1"/>
    <col min="313" max="313" width="10.26953125" bestFit="1" customWidth="1"/>
  </cols>
  <sheetData>
    <row r="1" spans="1:2" x14ac:dyDescent="0.4">
      <c r="B1" s="8" t="s">
        <v>470</v>
      </c>
    </row>
    <row r="3" spans="1:2" x14ac:dyDescent="0.4">
      <c r="A3" s="6" t="s">
        <v>470</v>
      </c>
      <c r="B3" s="9" t="s">
        <v>475</v>
      </c>
    </row>
    <row r="4" spans="1:2" x14ac:dyDescent="0.4">
      <c r="A4" s="7" t="s">
        <v>495</v>
      </c>
      <c r="B4" s="15">
        <v>67176</v>
      </c>
    </row>
    <row r="5" spans="1:2" x14ac:dyDescent="0.4">
      <c r="A5" s="7" t="s">
        <v>493</v>
      </c>
      <c r="B5" s="15">
        <v>62825</v>
      </c>
    </row>
    <row r="6" spans="1:2" x14ac:dyDescent="0.4">
      <c r="A6" s="7" t="s">
        <v>494</v>
      </c>
      <c r="B6" s="15">
        <v>69163.727272727279</v>
      </c>
    </row>
    <row r="7" spans="1:2" x14ac:dyDescent="0.4">
      <c r="A7" s="7" t="s">
        <v>496</v>
      </c>
      <c r="B7" s="15">
        <v>61750.411764705881</v>
      </c>
    </row>
    <row r="8" spans="1:2" x14ac:dyDescent="0.4">
      <c r="A8" s="7" t="s">
        <v>497</v>
      </c>
      <c r="B8" s="15">
        <v>63011.8</v>
      </c>
    </row>
    <row r="9" spans="1:2" x14ac:dyDescent="0.4">
      <c r="A9" s="7" t="s">
        <v>498</v>
      </c>
      <c r="B9" s="15">
        <v>70482.304347826081</v>
      </c>
    </row>
    <row r="10" spans="1:2" x14ac:dyDescent="0.4">
      <c r="A10" s="7" t="s">
        <v>499</v>
      </c>
      <c r="B10" s="15">
        <v>64141.5</v>
      </c>
    </row>
    <row r="11" spans="1:2" x14ac:dyDescent="0.4">
      <c r="A11" s="7" t="s">
        <v>500</v>
      </c>
      <c r="B11" s="15">
        <v>68617.8</v>
      </c>
    </row>
    <row r="12" spans="1:2" x14ac:dyDescent="0.4">
      <c r="A12" s="7" t="s">
        <v>501</v>
      </c>
      <c r="B12" s="15">
        <v>60067.888888888891</v>
      </c>
    </row>
    <row r="13" spans="1:2" x14ac:dyDescent="0.4">
      <c r="A13" s="7" t="s">
        <v>472</v>
      </c>
      <c r="B13" s="9">
        <v>65646.417475728158</v>
      </c>
    </row>
    <row r="14" spans="1:2" x14ac:dyDescent="0.4">
      <c r="B14"/>
    </row>
    <row r="15" spans="1:2" x14ac:dyDescent="0.4">
      <c r="B15"/>
    </row>
    <row r="16" spans="1:2"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row>
    <row r="27" spans="2:2" x14ac:dyDescent="0.4">
      <c r="B27"/>
    </row>
    <row r="28" spans="2:2" x14ac:dyDescent="0.4">
      <c r="B28"/>
    </row>
    <row r="29" spans="2:2" x14ac:dyDescent="0.4">
      <c r="B29"/>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158FD-D6E8-46D6-B9A6-5E94CC576C10}">
  <dimension ref="A1:B11"/>
  <sheetViews>
    <sheetView zoomScale="90" zoomScaleNormal="90" workbookViewId="0">
      <selection activeCell="B4" sqref="B4:B9"/>
    </sheetView>
  </sheetViews>
  <sheetFormatPr defaultRowHeight="19.5" x14ac:dyDescent="0.4"/>
  <cols>
    <col min="1" max="1" width="18.36328125" bestFit="1" customWidth="1"/>
    <col min="2" max="2" width="16.1796875" style="8" bestFit="1" customWidth="1"/>
    <col min="3" max="3" width="18.7265625" bestFit="1" customWidth="1"/>
    <col min="4" max="4" width="15" bestFit="1" customWidth="1"/>
    <col min="5" max="5" width="11" bestFit="1" customWidth="1"/>
    <col min="6" max="6" width="14.08984375" bestFit="1" customWidth="1"/>
    <col min="7" max="7" width="14.81640625" bestFit="1" customWidth="1"/>
    <col min="8" max="8" width="13.453125" bestFit="1" customWidth="1"/>
    <col min="9" max="9" width="10.81640625" bestFit="1" customWidth="1"/>
    <col min="10" max="10" width="14.26953125" bestFit="1" customWidth="1"/>
    <col min="11" max="11" width="16" bestFit="1" customWidth="1"/>
    <col min="12" max="12" width="17.6328125" bestFit="1" customWidth="1"/>
    <col min="13" max="13" width="14.6328125" bestFit="1" customWidth="1"/>
    <col min="14" max="14" width="14.81640625" bestFit="1" customWidth="1"/>
    <col min="15" max="15" width="18.1796875" bestFit="1" customWidth="1"/>
    <col min="16" max="16" width="11.90625" bestFit="1" customWidth="1"/>
    <col min="17" max="17" width="12.6328125" bestFit="1" customWidth="1"/>
    <col min="18" max="18" width="13.90625" bestFit="1" customWidth="1"/>
    <col min="19" max="19" width="16.36328125" bestFit="1" customWidth="1"/>
    <col min="20" max="20" width="12.54296875" bestFit="1" customWidth="1"/>
    <col min="21" max="21" width="11.81640625" bestFit="1" customWidth="1"/>
    <col min="22" max="22" width="13.6328125" bestFit="1" customWidth="1"/>
    <col min="23" max="23" width="14" bestFit="1" customWidth="1"/>
    <col min="24" max="24" width="10.36328125" bestFit="1" customWidth="1"/>
    <col min="25" max="25" width="12.453125" bestFit="1" customWidth="1"/>
    <col min="26" max="26" width="13.7265625" bestFit="1" customWidth="1"/>
    <col min="27" max="27" width="11.08984375" bestFit="1" customWidth="1"/>
    <col min="28" max="28" width="15.26953125" bestFit="1" customWidth="1"/>
    <col min="29" max="29" width="12" bestFit="1" customWidth="1"/>
    <col min="30" max="30" width="9.90625" bestFit="1" customWidth="1"/>
    <col min="31" max="31" width="9.6328125" bestFit="1" customWidth="1"/>
    <col min="32" max="32" width="15.81640625" bestFit="1" customWidth="1"/>
    <col min="33" max="33" width="15.6328125" bestFit="1" customWidth="1"/>
    <col min="34" max="34" width="14.7265625" bestFit="1" customWidth="1"/>
    <col min="35" max="35" width="11.36328125" bestFit="1" customWidth="1"/>
    <col min="36" max="36" width="15.7265625" bestFit="1" customWidth="1"/>
    <col min="37" max="37" width="9.54296875" bestFit="1" customWidth="1"/>
    <col min="38" max="38" width="12.1796875" bestFit="1" customWidth="1"/>
    <col min="39" max="39" width="14.08984375" bestFit="1" customWidth="1"/>
    <col min="40" max="40" width="13.6328125" bestFit="1" customWidth="1"/>
    <col min="41" max="41" width="13.26953125" bestFit="1" customWidth="1"/>
    <col min="42" max="42" width="14" bestFit="1" customWidth="1"/>
    <col min="43" max="43" width="11.6328125" bestFit="1" customWidth="1"/>
    <col min="44" max="44" width="14.1796875" bestFit="1" customWidth="1"/>
    <col min="45" max="45" width="16" bestFit="1" customWidth="1"/>
    <col min="46" max="46" width="8.36328125" bestFit="1" customWidth="1"/>
    <col min="47" max="47" width="15.90625" bestFit="1" customWidth="1"/>
    <col min="48" max="48" width="12.6328125" bestFit="1" customWidth="1"/>
    <col min="49" max="49" width="14.26953125" bestFit="1" customWidth="1"/>
    <col min="50" max="50" width="20.54296875" bestFit="1" customWidth="1"/>
    <col min="51" max="51" width="11.36328125" bestFit="1" customWidth="1"/>
    <col min="52" max="52" width="16.08984375" bestFit="1" customWidth="1"/>
    <col min="53" max="53" width="9.1796875" bestFit="1" customWidth="1"/>
    <col min="54" max="54" width="12.08984375" bestFit="1" customWidth="1"/>
    <col min="55" max="55" width="12.6328125" bestFit="1" customWidth="1"/>
    <col min="56" max="56" width="12" bestFit="1" customWidth="1"/>
    <col min="57" max="57" width="15.26953125" bestFit="1" customWidth="1"/>
    <col min="58" max="58" width="12.08984375" bestFit="1" customWidth="1"/>
    <col min="59" max="59" width="11.54296875" bestFit="1" customWidth="1"/>
    <col min="60" max="60" width="13" bestFit="1" customWidth="1"/>
    <col min="61" max="61" width="15.1796875" bestFit="1" customWidth="1"/>
    <col min="62" max="62" width="10.453125" bestFit="1" customWidth="1"/>
    <col min="63" max="63" width="12.90625" bestFit="1" customWidth="1"/>
    <col min="64" max="64" width="11.7265625" bestFit="1" customWidth="1"/>
    <col min="65" max="65" width="14.1796875" bestFit="1" customWidth="1"/>
    <col min="66" max="66" width="11.08984375" bestFit="1" customWidth="1"/>
    <col min="67" max="67" width="9.81640625" bestFit="1" customWidth="1"/>
    <col min="68" max="68" width="15.26953125" bestFit="1" customWidth="1"/>
    <col min="69" max="69" width="15.36328125" bestFit="1" customWidth="1"/>
    <col min="70" max="70" width="11.453125" bestFit="1" customWidth="1"/>
    <col min="71" max="71" width="11.54296875" bestFit="1" customWidth="1"/>
    <col min="72" max="72" width="13.36328125" bestFit="1" customWidth="1"/>
    <col min="73" max="73" width="13" bestFit="1" customWidth="1"/>
    <col min="74" max="74" width="14.453125" bestFit="1" customWidth="1"/>
    <col min="75" max="75" width="14" bestFit="1" customWidth="1"/>
    <col min="76" max="76" width="11.7265625" bestFit="1" customWidth="1"/>
    <col min="77" max="77" width="14.453125" bestFit="1" customWidth="1"/>
    <col min="78" max="78" width="10.7265625" bestFit="1" customWidth="1"/>
    <col min="79" max="79" width="10.90625" bestFit="1" customWidth="1"/>
    <col min="80" max="80" width="9.453125" bestFit="1" customWidth="1"/>
    <col min="81" max="81" width="10.1796875" bestFit="1" customWidth="1"/>
    <col min="82" max="82" width="10.26953125" bestFit="1" customWidth="1"/>
    <col min="83" max="83" width="14" bestFit="1" customWidth="1"/>
    <col min="84" max="84" width="12.26953125" bestFit="1" customWidth="1"/>
    <col min="85" max="85" width="11.36328125" bestFit="1" customWidth="1"/>
    <col min="86" max="86" width="11.81640625" bestFit="1" customWidth="1"/>
    <col min="87" max="87" width="15.453125" bestFit="1" customWidth="1"/>
    <col min="88" max="88" width="12.26953125" bestFit="1" customWidth="1"/>
    <col min="89" max="89" width="13.453125" bestFit="1" customWidth="1"/>
    <col min="90" max="90" width="12.08984375" bestFit="1" customWidth="1"/>
    <col min="91" max="91" width="13.1796875" bestFit="1" customWidth="1"/>
    <col min="92" max="92" width="14.36328125" bestFit="1" customWidth="1"/>
    <col min="93" max="93" width="16.26953125" bestFit="1" customWidth="1"/>
    <col min="94" max="94" width="9.08984375" bestFit="1" customWidth="1"/>
    <col min="95" max="95" width="11.90625" bestFit="1" customWidth="1"/>
    <col min="96" max="96" width="18.7265625" bestFit="1" customWidth="1"/>
    <col min="97" max="97" width="13.90625" bestFit="1" customWidth="1"/>
    <col min="98" max="98" width="11.08984375" bestFit="1" customWidth="1"/>
    <col min="99" max="99" width="10.453125" bestFit="1" customWidth="1"/>
    <col min="100" max="100" width="15.6328125" bestFit="1" customWidth="1"/>
    <col min="101" max="101" width="12.1796875" bestFit="1" customWidth="1"/>
    <col min="102" max="102" width="9.1796875" bestFit="1" customWidth="1"/>
    <col min="103" max="103" width="10.54296875" bestFit="1" customWidth="1"/>
    <col min="104" max="104" width="11.7265625" bestFit="1" customWidth="1"/>
    <col min="105" max="105" width="13.08984375" bestFit="1" customWidth="1"/>
    <col min="106" max="106" width="11.7265625" bestFit="1" customWidth="1"/>
    <col min="107" max="107" width="11.90625" bestFit="1" customWidth="1"/>
    <col min="108" max="108" width="9.90625" bestFit="1" customWidth="1"/>
    <col min="109" max="109" width="13.90625" bestFit="1" customWidth="1"/>
    <col min="110" max="110" width="13.08984375" bestFit="1" customWidth="1"/>
    <col min="111" max="111" width="11.81640625" bestFit="1" customWidth="1"/>
    <col min="112" max="112" width="11.08984375" bestFit="1" customWidth="1"/>
    <col min="113" max="113" width="12.90625" bestFit="1" customWidth="1"/>
    <col min="114" max="115" width="13.08984375" bestFit="1" customWidth="1"/>
    <col min="116" max="116" width="13.54296875" bestFit="1" customWidth="1"/>
    <col min="117" max="117" width="10.90625" bestFit="1" customWidth="1"/>
    <col min="118" max="118" width="12" bestFit="1" customWidth="1"/>
    <col min="119" max="119" width="19" bestFit="1" customWidth="1"/>
    <col min="120" max="120" width="12.36328125" bestFit="1" customWidth="1"/>
    <col min="121" max="121" width="11.36328125" bestFit="1" customWidth="1"/>
    <col min="122" max="122" width="10.90625" bestFit="1" customWidth="1"/>
    <col min="123" max="123" width="11.26953125" bestFit="1" customWidth="1"/>
    <col min="124" max="124" width="13.1796875" bestFit="1" customWidth="1"/>
    <col min="125" max="125" width="17.90625" bestFit="1" customWidth="1"/>
    <col min="126" max="126" width="14.90625" bestFit="1" customWidth="1"/>
    <col min="127" max="127" width="17.08984375" bestFit="1" customWidth="1"/>
    <col min="128" max="128" width="12.36328125" bestFit="1" customWidth="1"/>
    <col min="129" max="129" width="16" bestFit="1" customWidth="1"/>
    <col min="130" max="130" width="16.1796875" bestFit="1" customWidth="1"/>
    <col min="131" max="131" width="14.81640625" bestFit="1" customWidth="1"/>
    <col min="132" max="132" width="19.90625" bestFit="1" customWidth="1"/>
    <col min="133" max="133" width="12.08984375" bestFit="1" customWidth="1"/>
    <col min="134" max="134" width="13.6328125" bestFit="1" customWidth="1"/>
    <col min="135" max="135" width="13.54296875" bestFit="1" customWidth="1"/>
    <col min="136" max="136" width="11.81640625" bestFit="1" customWidth="1"/>
    <col min="137" max="137" width="12.1796875" bestFit="1" customWidth="1"/>
    <col min="138" max="138" width="12.7265625" bestFit="1" customWidth="1"/>
    <col min="139" max="139" width="10.6328125" bestFit="1" customWidth="1"/>
    <col min="140" max="140" width="15.54296875" bestFit="1" customWidth="1"/>
    <col min="141" max="141" width="9.54296875" bestFit="1" customWidth="1"/>
    <col min="142" max="142" width="16.54296875" bestFit="1" customWidth="1"/>
    <col min="143" max="143" width="14.36328125" bestFit="1" customWidth="1"/>
    <col min="144" max="144" width="14.90625" bestFit="1" customWidth="1"/>
    <col min="145" max="145" width="13.81640625" bestFit="1" customWidth="1"/>
    <col min="146" max="146" width="14.54296875" bestFit="1" customWidth="1"/>
    <col min="147" max="147" width="14.26953125" bestFit="1" customWidth="1"/>
    <col min="148" max="148" width="12.36328125" bestFit="1" customWidth="1"/>
    <col min="149" max="149" width="10.54296875" bestFit="1" customWidth="1"/>
    <col min="150" max="150" width="15.7265625" bestFit="1" customWidth="1"/>
    <col min="151" max="151" width="13.54296875" bestFit="1" customWidth="1"/>
    <col min="152" max="152" width="21.1796875" bestFit="1" customWidth="1"/>
    <col min="153" max="153" width="10" bestFit="1" customWidth="1"/>
    <col min="154" max="154" width="16.453125" bestFit="1" customWidth="1"/>
    <col min="155" max="155" width="14.54296875" bestFit="1" customWidth="1"/>
    <col min="156" max="156" width="15" bestFit="1" customWidth="1"/>
    <col min="157" max="157" width="15.26953125" bestFit="1" customWidth="1"/>
    <col min="158" max="158" width="13.81640625" bestFit="1" customWidth="1"/>
    <col min="159" max="159" width="10.1796875" bestFit="1" customWidth="1"/>
    <col min="160" max="160" width="10.81640625" bestFit="1" customWidth="1"/>
    <col min="161" max="161" width="15.26953125" bestFit="1" customWidth="1"/>
    <col min="162" max="162" width="13.6328125" bestFit="1" customWidth="1"/>
    <col min="163" max="163" width="17.26953125" bestFit="1" customWidth="1"/>
    <col min="164" max="164" width="14.7265625" bestFit="1" customWidth="1"/>
    <col min="165" max="165" width="8.36328125" bestFit="1" customWidth="1"/>
    <col min="166" max="166" width="11.6328125" bestFit="1" customWidth="1"/>
    <col min="167" max="167" width="17.1796875" bestFit="1" customWidth="1"/>
    <col min="168" max="168" width="14.1796875" bestFit="1" customWidth="1"/>
    <col min="169" max="169" width="14.08984375" bestFit="1" customWidth="1"/>
    <col min="170" max="170" width="11.81640625" bestFit="1" customWidth="1"/>
    <col min="171" max="171" width="14.08984375" bestFit="1" customWidth="1"/>
    <col min="172" max="172" width="13.6328125" bestFit="1" customWidth="1"/>
    <col min="173" max="173" width="15.1796875" bestFit="1" customWidth="1"/>
    <col min="174" max="174" width="11.6328125" bestFit="1" customWidth="1"/>
    <col min="175" max="175" width="12.08984375" bestFit="1" customWidth="1"/>
    <col min="176" max="176" width="12" bestFit="1" customWidth="1"/>
    <col min="177" max="177" width="13" bestFit="1" customWidth="1"/>
    <col min="178" max="178" width="17.26953125" bestFit="1" customWidth="1"/>
    <col min="179" max="179" width="15.6328125" bestFit="1" customWidth="1"/>
    <col min="180" max="180" width="16.36328125" bestFit="1" customWidth="1"/>
    <col min="181" max="181" width="13.90625" bestFit="1" customWidth="1"/>
    <col min="182" max="182" width="13.1796875" bestFit="1" customWidth="1"/>
    <col min="183" max="183" width="12.54296875" bestFit="1" customWidth="1"/>
    <col min="184" max="184" width="13.36328125" bestFit="1" customWidth="1"/>
    <col min="185" max="185" width="14.1796875" bestFit="1" customWidth="1"/>
    <col min="186" max="186" width="12" bestFit="1" customWidth="1"/>
    <col min="187" max="187" width="14.54296875" bestFit="1" customWidth="1"/>
    <col min="188" max="188" width="15.81640625" bestFit="1" customWidth="1"/>
    <col min="189" max="189" width="12.90625" bestFit="1" customWidth="1"/>
    <col min="190" max="190" width="9.26953125" bestFit="1" customWidth="1"/>
    <col min="191" max="191" width="17.1796875" bestFit="1" customWidth="1"/>
    <col min="192" max="192" width="12.08984375" bestFit="1" customWidth="1"/>
    <col min="193" max="193" width="13.453125" bestFit="1" customWidth="1"/>
    <col min="194" max="194" width="12.54296875" bestFit="1" customWidth="1"/>
    <col min="195" max="195" width="13.08984375" bestFit="1" customWidth="1"/>
    <col min="196" max="196" width="13.1796875" bestFit="1" customWidth="1"/>
    <col min="197" max="197" width="14.7265625" bestFit="1" customWidth="1"/>
    <col min="198" max="198" width="12.90625" bestFit="1" customWidth="1"/>
    <col min="199" max="199" width="11.90625" bestFit="1" customWidth="1"/>
    <col min="200" max="200" width="12.6328125" bestFit="1" customWidth="1"/>
    <col min="201" max="201" width="9.453125" bestFit="1" customWidth="1"/>
    <col min="202" max="202" width="15.453125" bestFit="1" customWidth="1"/>
    <col min="203" max="203" width="12.54296875" bestFit="1" customWidth="1"/>
    <col min="204" max="204" width="14" bestFit="1" customWidth="1"/>
    <col min="205" max="205" width="14.6328125" bestFit="1" customWidth="1"/>
    <col min="206" max="206" width="13.08984375" bestFit="1" customWidth="1"/>
    <col min="207" max="207" width="10.81640625" bestFit="1" customWidth="1"/>
    <col min="208" max="208" width="12.54296875" bestFit="1" customWidth="1"/>
    <col min="209" max="209" width="13.81640625" bestFit="1" customWidth="1"/>
    <col min="210" max="210" width="13.7265625" bestFit="1" customWidth="1"/>
    <col min="211" max="211" width="11.90625" bestFit="1" customWidth="1"/>
    <col min="212" max="212" width="11.36328125" bestFit="1" customWidth="1"/>
    <col min="213" max="213" width="12.7265625" bestFit="1" customWidth="1"/>
    <col min="214" max="214" width="14.54296875" bestFit="1" customWidth="1"/>
    <col min="215" max="215" width="14.453125" bestFit="1" customWidth="1"/>
    <col min="216" max="216" width="14.1796875" bestFit="1" customWidth="1"/>
    <col min="217" max="217" width="12.1796875" bestFit="1" customWidth="1"/>
    <col min="218" max="218" width="12.6328125" bestFit="1" customWidth="1"/>
    <col min="219" max="219" width="16.08984375" bestFit="1" customWidth="1"/>
    <col min="220" max="220" width="14.36328125" bestFit="1" customWidth="1"/>
    <col min="221" max="221" width="16.36328125" bestFit="1" customWidth="1"/>
    <col min="222" max="222" width="10.453125" bestFit="1" customWidth="1"/>
    <col min="224" max="224" width="10.08984375" bestFit="1" customWidth="1"/>
    <col min="225" max="225" width="13.1796875" bestFit="1" customWidth="1"/>
    <col min="226" max="227" width="14.08984375" bestFit="1" customWidth="1"/>
    <col min="228" max="228" width="10.453125" bestFit="1" customWidth="1"/>
    <col min="229" max="229" width="14.1796875" bestFit="1" customWidth="1"/>
    <col min="230" max="230" width="12.1796875" bestFit="1" customWidth="1"/>
    <col min="231" max="231" width="8.36328125" bestFit="1" customWidth="1"/>
    <col min="232" max="232" width="14.26953125" bestFit="1" customWidth="1"/>
    <col min="233" max="233" width="12.453125" bestFit="1" customWidth="1"/>
    <col min="234" max="234" width="12.6328125" bestFit="1" customWidth="1"/>
    <col min="235" max="235" width="14.453125" bestFit="1" customWidth="1"/>
    <col min="236" max="236" width="14.1796875" bestFit="1" customWidth="1"/>
    <col min="237" max="237" width="14.36328125" bestFit="1" customWidth="1"/>
    <col min="238" max="238" width="13.1796875" bestFit="1" customWidth="1"/>
    <col min="239" max="239" width="9.26953125" bestFit="1" customWidth="1"/>
    <col min="240" max="240" width="14.54296875" bestFit="1" customWidth="1"/>
    <col min="241" max="241" width="10.7265625" bestFit="1" customWidth="1"/>
    <col min="242" max="242" width="12.08984375" bestFit="1" customWidth="1"/>
    <col min="243" max="243" width="13.1796875" bestFit="1" customWidth="1"/>
    <col min="244" max="244" width="10.36328125" bestFit="1" customWidth="1"/>
    <col min="245" max="245" width="11.26953125" bestFit="1" customWidth="1"/>
    <col min="246" max="246" width="10.81640625" bestFit="1" customWidth="1"/>
    <col min="247" max="247" width="18.81640625" bestFit="1" customWidth="1"/>
    <col min="248" max="248" width="11" bestFit="1" customWidth="1"/>
    <col min="249" max="249" width="9.81640625" bestFit="1" customWidth="1"/>
    <col min="250" max="250" width="11.453125" bestFit="1" customWidth="1"/>
    <col min="251" max="251" width="13.26953125" bestFit="1" customWidth="1"/>
    <col min="252" max="252" width="13.6328125" bestFit="1" customWidth="1"/>
    <col min="253" max="253" width="13.1796875" bestFit="1" customWidth="1"/>
    <col min="254" max="254" width="11.26953125" bestFit="1" customWidth="1"/>
    <col min="255" max="255" width="13.36328125" bestFit="1" customWidth="1"/>
    <col min="256" max="256" width="9.90625" bestFit="1" customWidth="1"/>
    <col min="257" max="257" width="15" bestFit="1" customWidth="1"/>
    <col min="258" max="258" width="9.36328125" bestFit="1" customWidth="1"/>
    <col min="259" max="259" width="10.36328125" bestFit="1" customWidth="1"/>
    <col min="260" max="260" width="14.453125" bestFit="1" customWidth="1"/>
    <col min="261" max="261" width="11.453125" bestFit="1" customWidth="1"/>
    <col min="262" max="262" width="10.453125" bestFit="1" customWidth="1"/>
    <col min="263" max="263" width="9.81640625" bestFit="1" customWidth="1"/>
    <col min="264" max="264" width="11.26953125" bestFit="1" customWidth="1"/>
    <col min="265" max="265" width="13.453125" bestFit="1" customWidth="1"/>
    <col min="266" max="266" width="11.90625" bestFit="1" customWidth="1"/>
    <col min="267" max="267" width="15.08984375" bestFit="1" customWidth="1"/>
    <col min="268" max="268" width="17" bestFit="1" customWidth="1"/>
    <col min="269" max="269" width="16.1796875" bestFit="1" customWidth="1"/>
    <col min="270" max="270" width="14" bestFit="1" customWidth="1"/>
    <col min="271" max="271" width="10.453125" bestFit="1" customWidth="1"/>
    <col min="272" max="272" width="12.36328125" bestFit="1" customWidth="1"/>
    <col min="273" max="273" width="13.08984375" bestFit="1" customWidth="1"/>
    <col min="274" max="274" width="14.7265625" bestFit="1" customWidth="1"/>
    <col min="275" max="275" width="14.1796875" bestFit="1" customWidth="1"/>
    <col min="276" max="276" width="12.7265625" bestFit="1" customWidth="1"/>
    <col min="277" max="277" width="10.453125" bestFit="1" customWidth="1"/>
    <col min="278" max="278" width="15.36328125" bestFit="1" customWidth="1"/>
    <col min="279" max="279" width="13.453125" bestFit="1" customWidth="1"/>
    <col min="280" max="280" width="13.7265625" bestFit="1" customWidth="1"/>
    <col min="281" max="281" width="17.1796875" bestFit="1" customWidth="1"/>
    <col min="282" max="282" width="15.1796875" bestFit="1" customWidth="1"/>
    <col min="283" max="283" width="14.90625" bestFit="1" customWidth="1"/>
    <col min="284" max="284" width="13.1796875" bestFit="1" customWidth="1"/>
    <col min="285" max="285" width="9.26953125" bestFit="1" customWidth="1"/>
    <col min="286" max="286" width="16.36328125" bestFit="1" customWidth="1"/>
    <col min="287" max="287" width="11.54296875" bestFit="1" customWidth="1"/>
    <col min="288" max="288" width="12.6328125" bestFit="1" customWidth="1"/>
    <col min="289" max="289" width="11.26953125" bestFit="1" customWidth="1"/>
    <col min="290" max="290" width="13.453125" bestFit="1" customWidth="1"/>
    <col min="291" max="291" width="14" bestFit="1" customWidth="1"/>
    <col min="292" max="292" width="12" bestFit="1" customWidth="1"/>
    <col min="293" max="293" width="14.36328125" bestFit="1" customWidth="1"/>
    <col min="294" max="294" width="13.7265625" bestFit="1" customWidth="1"/>
    <col min="295" max="295" width="11.26953125" bestFit="1" customWidth="1"/>
    <col min="296" max="296" width="19.7265625" bestFit="1" customWidth="1"/>
    <col min="297" max="297" width="12" bestFit="1" customWidth="1"/>
    <col min="298" max="298" width="17.54296875" bestFit="1" customWidth="1"/>
    <col min="299" max="299" width="14.81640625" bestFit="1" customWidth="1"/>
    <col min="300" max="300" width="11.81640625" bestFit="1" customWidth="1"/>
    <col min="301" max="301" width="13.08984375" bestFit="1" customWidth="1"/>
    <col min="302" max="302" width="12.36328125" bestFit="1" customWidth="1"/>
    <col min="303" max="303" width="11" bestFit="1" customWidth="1"/>
    <col min="304" max="304" width="11.54296875" bestFit="1" customWidth="1"/>
    <col min="305" max="305" width="17.81640625" bestFit="1" customWidth="1"/>
    <col min="306" max="306" width="15.54296875" bestFit="1" customWidth="1"/>
    <col min="307" max="307" width="11.81640625" bestFit="1" customWidth="1"/>
    <col min="308" max="308" width="14.08984375" bestFit="1" customWidth="1"/>
    <col min="309" max="309" width="15.453125" bestFit="1" customWidth="1"/>
    <col min="310" max="310" width="14.6328125" bestFit="1" customWidth="1"/>
    <col min="311" max="311" width="9.7265625" bestFit="1" customWidth="1"/>
    <col min="312" max="312" width="11.7265625" bestFit="1" customWidth="1"/>
    <col min="313" max="313" width="10.26953125" bestFit="1" customWidth="1"/>
  </cols>
  <sheetData>
    <row r="1" spans="1:2" x14ac:dyDescent="0.4">
      <c r="B1" s="8" t="s">
        <v>470</v>
      </c>
    </row>
    <row r="3" spans="1:2" x14ac:dyDescent="0.4">
      <c r="A3" s="11" t="s">
        <v>470</v>
      </c>
      <c r="B3" s="9" t="s">
        <v>475</v>
      </c>
    </row>
    <row r="4" spans="1:2" x14ac:dyDescent="0.4">
      <c r="A4" s="7" t="s">
        <v>4</v>
      </c>
      <c r="B4" s="15">
        <v>59953.545454545456</v>
      </c>
    </row>
    <row r="5" spans="1:2" x14ac:dyDescent="0.4">
      <c r="A5" s="7" t="s">
        <v>77</v>
      </c>
      <c r="B5" s="15">
        <v>69061.258064516136</v>
      </c>
    </row>
    <row r="6" spans="1:2" x14ac:dyDescent="0.4">
      <c r="A6" s="7" t="s">
        <v>121</v>
      </c>
      <c r="B6" s="15">
        <v>71791.888888888891</v>
      </c>
    </row>
    <row r="7" spans="1:2" x14ac:dyDescent="0.4">
      <c r="A7" s="7" t="s">
        <v>91</v>
      </c>
      <c r="B7" s="15">
        <v>94989.454545454544</v>
      </c>
    </row>
    <row r="8" spans="1:2" x14ac:dyDescent="0.4">
      <c r="A8" s="7" t="s">
        <v>15</v>
      </c>
      <c r="B8" s="15">
        <v>97064.639999999999</v>
      </c>
    </row>
    <row r="9" spans="1:2" x14ac:dyDescent="0.4">
      <c r="A9" s="7" t="s">
        <v>268</v>
      </c>
      <c r="B9" s="15">
        <v>250000</v>
      </c>
    </row>
    <row r="10" spans="1:2" x14ac:dyDescent="0.4">
      <c r="A10" s="7" t="s">
        <v>472</v>
      </c>
      <c r="B10" s="9">
        <v>69020.684887459807</v>
      </c>
    </row>
    <row r="11" spans="1:2" x14ac:dyDescent="0.4">
      <c r="B11"/>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8C14-0BAD-4FE3-9AF0-E3A02CCE8150}">
  <dimension ref="A1:B315"/>
  <sheetViews>
    <sheetView zoomScale="90" zoomScaleNormal="90" workbookViewId="0">
      <selection activeCell="F17" sqref="F17"/>
    </sheetView>
  </sheetViews>
  <sheetFormatPr defaultRowHeight="19.5" x14ac:dyDescent="0.4"/>
  <cols>
    <col min="1" max="1" width="19.90625" bestFit="1" customWidth="1"/>
    <col min="2" max="2" width="23.81640625" style="10" bestFit="1" customWidth="1"/>
    <col min="3" max="3" width="5.26953125" bestFit="1" customWidth="1"/>
    <col min="4" max="4" width="22" bestFit="1" customWidth="1"/>
    <col min="5" max="5" width="7.81640625" bestFit="1" customWidth="1"/>
    <col min="6" max="6" width="16" bestFit="1" customWidth="1"/>
    <col min="7" max="7" width="5.36328125" bestFit="1" customWidth="1"/>
    <col min="8" max="8" width="10.26953125" bestFit="1" customWidth="1"/>
    <col min="9" max="9" width="5.36328125" bestFit="1" customWidth="1"/>
    <col min="10" max="10" width="9.08984375" bestFit="1" customWidth="1"/>
    <col min="11" max="11" width="27.90625" bestFit="1" customWidth="1"/>
    <col min="12" max="12" width="5.26953125" bestFit="1" customWidth="1"/>
    <col min="13" max="13" width="22" bestFit="1" customWidth="1"/>
    <col min="14" max="14" width="7.81640625" bestFit="1" customWidth="1"/>
    <col min="15" max="15" width="16" bestFit="1" customWidth="1"/>
    <col min="16" max="16" width="5.36328125" bestFit="1" customWidth="1"/>
    <col min="17" max="17" width="17.6328125" bestFit="1" customWidth="1"/>
    <col min="18" max="18" width="27.90625" bestFit="1" customWidth="1"/>
    <col min="19" max="19" width="5.26953125" bestFit="1" customWidth="1"/>
    <col min="20" max="20" width="22" bestFit="1" customWidth="1"/>
    <col min="21" max="21" width="16" bestFit="1" customWidth="1"/>
    <col min="22" max="22" width="5.36328125" bestFit="1" customWidth="1"/>
    <col min="23" max="23" width="9.90625" bestFit="1" customWidth="1"/>
    <col min="24" max="24" width="20.08984375" bestFit="1" customWidth="1"/>
    <col min="25" max="25" width="22" bestFit="1" customWidth="1"/>
    <col min="26" max="26" width="5.36328125" bestFit="1" customWidth="1"/>
    <col min="27" max="27" width="23.08984375" bestFit="1" customWidth="1"/>
    <col min="28" max="28" width="10.26953125" bestFit="1" customWidth="1"/>
  </cols>
  <sheetData>
    <row r="1" spans="1:2" x14ac:dyDescent="0.4">
      <c r="B1"/>
    </row>
    <row r="3" spans="1:2" x14ac:dyDescent="0.4">
      <c r="A3" s="6" t="s">
        <v>470</v>
      </c>
      <c r="B3" s="4" t="s">
        <v>476</v>
      </c>
    </row>
    <row r="4" spans="1:2" x14ac:dyDescent="0.4">
      <c r="A4" s="7" t="s">
        <v>60</v>
      </c>
      <c r="B4" s="4">
        <v>23</v>
      </c>
    </row>
    <row r="5" spans="1:2" x14ac:dyDescent="0.4">
      <c r="A5" s="7" t="s">
        <v>37</v>
      </c>
      <c r="B5" s="4">
        <v>29</v>
      </c>
    </row>
    <row r="6" spans="1:2" x14ac:dyDescent="0.4">
      <c r="A6" s="7" t="s">
        <v>13</v>
      </c>
      <c r="B6" s="4">
        <v>31</v>
      </c>
    </row>
    <row r="7" spans="1:2" x14ac:dyDescent="0.4">
      <c r="A7" s="7" t="s">
        <v>25</v>
      </c>
      <c r="B7" s="4">
        <v>49</v>
      </c>
    </row>
    <row r="8" spans="1:2" x14ac:dyDescent="0.4">
      <c r="A8" s="7" t="s">
        <v>55</v>
      </c>
      <c r="B8" s="4">
        <v>87</v>
      </c>
    </row>
    <row r="9" spans="1:2" x14ac:dyDescent="0.4">
      <c r="A9" s="7" t="s">
        <v>2</v>
      </c>
      <c r="B9" s="4">
        <v>76</v>
      </c>
    </row>
    <row r="10" spans="1:2" x14ac:dyDescent="0.4">
      <c r="A10" s="7" t="s">
        <v>430</v>
      </c>
      <c r="B10" s="4">
        <v>1</v>
      </c>
    </row>
    <row r="11" spans="1:2" x14ac:dyDescent="0.4">
      <c r="A11" s="7" t="s">
        <v>102</v>
      </c>
      <c r="B11" s="4">
        <v>2</v>
      </c>
    </row>
    <row r="12" spans="1:2" x14ac:dyDescent="0.4">
      <c r="A12" s="7" t="s">
        <v>44</v>
      </c>
      <c r="B12" s="4">
        <v>13</v>
      </c>
    </row>
    <row r="13" spans="1:2" x14ac:dyDescent="0.4">
      <c r="A13" s="7" t="s">
        <v>472</v>
      </c>
      <c r="B13" s="4">
        <v>311</v>
      </c>
    </row>
    <row r="14" spans="1:2" x14ac:dyDescent="0.4">
      <c r="B14"/>
    </row>
    <row r="15" spans="1:2" x14ac:dyDescent="0.4">
      <c r="B15"/>
    </row>
    <row r="16" spans="1:2"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s="4"/>
    </row>
    <row r="27" spans="2:2" x14ac:dyDescent="0.4">
      <c r="B27" s="4"/>
    </row>
    <row r="28" spans="2:2" x14ac:dyDescent="0.4">
      <c r="B28" s="4"/>
    </row>
    <row r="29" spans="2:2" x14ac:dyDescent="0.4">
      <c r="B29" s="4"/>
    </row>
    <row r="30" spans="2:2" x14ac:dyDescent="0.4">
      <c r="B30" s="4"/>
    </row>
    <row r="31" spans="2:2" x14ac:dyDescent="0.4">
      <c r="B31" s="4"/>
    </row>
    <row r="32" spans="2:2" x14ac:dyDescent="0.4">
      <c r="B32" s="4"/>
    </row>
    <row r="33" spans="2:2" x14ac:dyDescent="0.4">
      <c r="B33" s="4"/>
    </row>
    <row r="34" spans="2:2" x14ac:dyDescent="0.4">
      <c r="B34" s="4"/>
    </row>
    <row r="35" spans="2:2" x14ac:dyDescent="0.4">
      <c r="B35" s="4"/>
    </row>
    <row r="36" spans="2:2" x14ac:dyDescent="0.4">
      <c r="B36" s="4"/>
    </row>
    <row r="37" spans="2:2" x14ac:dyDescent="0.4">
      <c r="B37" s="4"/>
    </row>
    <row r="38" spans="2:2" x14ac:dyDescent="0.4">
      <c r="B38" s="4"/>
    </row>
    <row r="39" spans="2:2" x14ac:dyDescent="0.4">
      <c r="B39" s="4"/>
    </row>
    <row r="40" spans="2:2" x14ac:dyDescent="0.4">
      <c r="B40" s="4"/>
    </row>
    <row r="41" spans="2:2" x14ac:dyDescent="0.4">
      <c r="B41" s="4"/>
    </row>
    <row r="42" spans="2:2" x14ac:dyDescent="0.4">
      <c r="B42" s="4"/>
    </row>
    <row r="43" spans="2:2" x14ac:dyDescent="0.4">
      <c r="B43" s="4"/>
    </row>
    <row r="44" spans="2:2" x14ac:dyDescent="0.4">
      <c r="B44" s="4"/>
    </row>
    <row r="45" spans="2:2" x14ac:dyDescent="0.4">
      <c r="B45" s="4"/>
    </row>
    <row r="46" spans="2:2" x14ac:dyDescent="0.4">
      <c r="B46" s="4"/>
    </row>
    <row r="47" spans="2:2" x14ac:dyDescent="0.4">
      <c r="B47" s="4"/>
    </row>
    <row r="48" spans="2:2" x14ac:dyDescent="0.4">
      <c r="B48" s="4"/>
    </row>
    <row r="49" spans="2:2" x14ac:dyDescent="0.4">
      <c r="B49" s="4"/>
    </row>
    <row r="50" spans="2:2" x14ac:dyDescent="0.4">
      <c r="B50" s="4"/>
    </row>
    <row r="51" spans="2:2" x14ac:dyDescent="0.4">
      <c r="B51" s="4"/>
    </row>
    <row r="52" spans="2:2" x14ac:dyDescent="0.4">
      <c r="B52" s="4"/>
    </row>
    <row r="53" spans="2:2" x14ac:dyDescent="0.4">
      <c r="B53" s="4"/>
    </row>
    <row r="54" spans="2:2" x14ac:dyDescent="0.4">
      <c r="B54" s="4"/>
    </row>
    <row r="55" spans="2:2" x14ac:dyDescent="0.4">
      <c r="B55" s="4"/>
    </row>
    <row r="56" spans="2:2" x14ac:dyDescent="0.4">
      <c r="B56" s="4"/>
    </row>
    <row r="57" spans="2:2" x14ac:dyDescent="0.4">
      <c r="B57" s="4"/>
    </row>
    <row r="58" spans="2:2" x14ac:dyDescent="0.4">
      <c r="B58" s="4"/>
    </row>
    <row r="59" spans="2:2" x14ac:dyDescent="0.4">
      <c r="B59" s="4"/>
    </row>
    <row r="60" spans="2:2" x14ac:dyDescent="0.4">
      <c r="B60" s="4"/>
    </row>
    <row r="61" spans="2:2" x14ac:dyDescent="0.4">
      <c r="B61" s="4"/>
    </row>
    <row r="62" spans="2:2" x14ac:dyDescent="0.4">
      <c r="B62" s="4"/>
    </row>
    <row r="63" spans="2:2" x14ac:dyDescent="0.4">
      <c r="B63" s="4"/>
    </row>
    <row r="64" spans="2:2" x14ac:dyDescent="0.4">
      <c r="B64" s="4"/>
    </row>
    <row r="65" spans="2:2" x14ac:dyDescent="0.4">
      <c r="B65" s="4"/>
    </row>
    <row r="66" spans="2:2" x14ac:dyDescent="0.4">
      <c r="B66" s="4"/>
    </row>
    <row r="67" spans="2:2" x14ac:dyDescent="0.4">
      <c r="B67" s="4"/>
    </row>
    <row r="68" spans="2:2" x14ac:dyDescent="0.4">
      <c r="B68" s="4"/>
    </row>
    <row r="69" spans="2:2" x14ac:dyDescent="0.4">
      <c r="B69" s="4"/>
    </row>
    <row r="70" spans="2:2" x14ac:dyDescent="0.4">
      <c r="B70" s="4"/>
    </row>
    <row r="71" spans="2:2" x14ac:dyDescent="0.4">
      <c r="B71" s="4"/>
    </row>
    <row r="72" spans="2:2" x14ac:dyDescent="0.4">
      <c r="B72" s="4"/>
    </row>
    <row r="73" spans="2:2" x14ac:dyDescent="0.4">
      <c r="B73" s="4"/>
    </row>
    <row r="74" spans="2:2" x14ac:dyDescent="0.4">
      <c r="B74" s="4"/>
    </row>
    <row r="75" spans="2:2" x14ac:dyDescent="0.4">
      <c r="B75" s="4"/>
    </row>
    <row r="76" spans="2:2" x14ac:dyDescent="0.4">
      <c r="B76" s="4"/>
    </row>
    <row r="77" spans="2:2" x14ac:dyDescent="0.4">
      <c r="B77" s="4"/>
    </row>
    <row r="78" spans="2:2" x14ac:dyDescent="0.4">
      <c r="B78" s="4"/>
    </row>
    <row r="79" spans="2:2" x14ac:dyDescent="0.4">
      <c r="B79" s="4"/>
    </row>
    <row r="80" spans="2:2" x14ac:dyDescent="0.4">
      <c r="B80" s="4"/>
    </row>
    <row r="81" spans="2:2" x14ac:dyDescent="0.4">
      <c r="B81" s="4"/>
    </row>
    <row r="82" spans="2:2" x14ac:dyDescent="0.4">
      <c r="B82" s="4"/>
    </row>
    <row r="83" spans="2:2" x14ac:dyDescent="0.4">
      <c r="B83" s="4"/>
    </row>
    <row r="84" spans="2:2" x14ac:dyDescent="0.4">
      <c r="B84" s="4"/>
    </row>
    <row r="85" spans="2:2" x14ac:dyDescent="0.4">
      <c r="B85" s="4"/>
    </row>
    <row r="86" spans="2:2" x14ac:dyDescent="0.4">
      <c r="B86" s="4"/>
    </row>
    <row r="87" spans="2:2" x14ac:dyDescent="0.4">
      <c r="B87" s="4"/>
    </row>
    <row r="88" spans="2:2" x14ac:dyDescent="0.4">
      <c r="B88" s="4"/>
    </row>
    <row r="89" spans="2:2" x14ac:dyDescent="0.4">
      <c r="B89" s="4"/>
    </row>
    <row r="90" spans="2:2" x14ac:dyDescent="0.4">
      <c r="B90" s="4"/>
    </row>
    <row r="91" spans="2:2" x14ac:dyDescent="0.4">
      <c r="B91" s="4"/>
    </row>
    <row r="92" spans="2:2" x14ac:dyDescent="0.4">
      <c r="B92" s="4"/>
    </row>
    <row r="93" spans="2:2" x14ac:dyDescent="0.4">
      <c r="B93" s="4"/>
    </row>
    <row r="94" spans="2:2" x14ac:dyDescent="0.4">
      <c r="B94" s="4"/>
    </row>
    <row r="95" spans="2:2" x14ac:dyDescent="0.4">
      <c r="B95" s="4"/>
    </row>
    <row r="96" spans="2:2" x14ac:dyDescent="0.4">
      <c r="B96" s="4"/>
    </row>
    <row r="97" spans="2:2" x14ac:dyDescent="0.4">
      <c r="B97" s="4"/>
    </row>
    <row r="98" spans="2:2" x14ac:dyDescent="0.4">
      <c r="B98" s="4"/>
    </row>
    <row r="99" spans="2:2" x14ac:dyDescent="0.4">
      <c r="B99" s="4"/>
    </row>
    <row r="100" spans="2:2" x14ac:dyDescent="0.4">
      <c r="B100" s="4"/>
    </row>
    <row r="101" spans="2:2" x14ac:dyDescent="0.4">
      <c r="B101" s="4"/>
    </row>
    <row r="102" spans="2:2" x14ac:dyDescent="0.4">
      <c r="B102" s="4"/>
    </row>
    <row r="103" spans="2:2" x14ac:dyDescent="0.4">
      <c r="B103" s="4"/>
    </row>
    <row r="104" spans="2:2" x14ac:dyDescent="0.4">
      <c r="B104" s="4"/>
    </row>
    <row r="105" spans="2:2" x14ac:dyDescent="0.4">
      <c r="B105" s="4"/>
    </row>
    <row r="106" spans="2:2" x14ac:dyDescent="0.4">
      <c r="B106" s="4"/>
    </row>
    <row r="107" spans="2:2" x14ac:dyDescent="0.4">
      <c r="B107" s="4"/>
    </row>
    <row r="108" spans="2:2" x14ac:dyDescent="0.4">
      <c r="B108" s="4"/>
    </row>
    <row r="109" spans="2:2" x14ac:dyDescent="0.4">
      <c r="B109" s="4"/>
    </row>
    <row r="110" spans="2:2" x14ac:dyDescent="0.4">
      <c r="B110" s="4"/>
    </row>
    <row r="111" spans="2:2" x14ac:dyDescent="0.4">
      <c r="B111" s="4"/>
    </row>
    <row r="112" spans="2:2" x14ac:dyDescent="0.4">
      <c r="B112" s="4"/>
    </row>
    <row r="113" spans="2:2" x14ac:dyDescent="0.4">
      <c r="B113" s="4"/>
    </row>
    <row r="114" spans="2:2" x14ac:dyDescent="0.4">
      <c r="B114" s="4"/>
    </row>
    <row r="115" spans="2:2" x14ac:dyDescent="0.4">
      <c r="B115" s="4"/>
    </row>
    <row r="116" spans="2:2" x14ac:dyDescent="0.4">
      <c r="B116" s="4"/>
    </row>
    <row r="117" spans="2:2" x14ac:dyDescent="0.4">
      <c r="B117" s="4"/>
    </row>
    <row r="118" spans="2:2" x14ac:dyDescent="0.4">
      <c r="B118" s="4"/>
    </row>
    <row r="119" spans="2:2" x14ac:dyDescent="0.4">
      <c r="B119" s="4"/>
    </row>
    <row r="120" spans="2:2" x14ac:dyDescent="0.4">
      <c r="B120" s="4"/>
    </row>
    <row r="121" spans="2:2" x14ac:dyDescent="0.4">
      <c r="B121" s="4"/>
    </row>
    <row r="122" spans="2:2" x14ac:dyDescent="0.4">
      <c r="B122" s="4"/>
    </row>
    <row r="123" spans="2:2" x14ac:dyDescent="0.4">
      <c r="B123" s="4"/>
    </row>
    <row r="124" spans="2:2" x14ac:dyDescent="0.4">
      <c r="B124" s="4"/>
    </row>
    <row r="125" spans="2:2" x14ac:dyDescent="0.4">
      <c r="B125" s="4"/>
    </row>
    <row r="126" spans="2:2" x14ac:dyDescent="0.4">
      <c r="B126" s="4"/>
    </row>
    <row r="127" spans="2:2" x14ac:dyDescent="0.4">
      <c r="B127" s="4"/>
    </row>
    <row r="128" spans="2:2" x14ac:dyDescent="0.4">
      <c r="B128" s="4"/>
    </row>
    <row r="129" spans="2:2" x14ac:dyDescent="0.4">
      <c r="B129" s="4"/>
    </row>
    <row r="130" spans="2:2" x14ac:dyDescent="0.4">
      <c r="B130" s="4"/>
    </row>
    <row r="131" spans="2:2" x14ac:dyDescent="0.4">
      <c r="B131" s="4"/>
    </row>
    <row r="132" spans="2:2" x14ac:dyDescent="0.4">
      <c r="B132" s="4"/>
    </row>
    <row r="133" spans="2:2" x14ac:dyDescent="0.4">
      <c r="B133" s="4"/>
    </row>
    <row r="134" spans="2:2" x14ac:dyDescent="0.4">
      <c r="B134" s="4"/>
    </row>
    <row r="135" spans="2:2" x14ac:dyDescent="0.4">
      <c r="B135" s="4"/>
    </row>
    <row r="136" spans="2:2" x14ac:dyDescent="0.4">
      <c r="B136" s="4"/>
    </row>
    <row r="137" spans="2:2" x14ac:dyDescent="0.4">
      <c r="B137" s="4"/>
    </row>
    <row r="138" spans="2:2" x14ac:dyDescent="0.4">
      <c r="B138" s="4"/>
    </row>
    <row r="139" spans="2:2" x14ac:dyDescent="0.4">
      <c r="B139" s="4"/>
    </row>
    <row r="140" spans="2:2" x14ac:dyDescent="0.4">
      <c r="B140" s="4"/>
    </row>
    <row r="141" spans="2:2" x14ac:dyDescent="0.4">
      <c r="B141" s="4"/>
    </row>
    <row r="142" spans="2:2" x14ac:dyDescent="0.4">
      <c r="B142" s="4"/>
    </row>
    <row r="143" spans="2:2" x14ac:dyDescent="0.4">
      <c r="B143" s="4"/>
    </row>
    <row r="144" spans="2:2" x14ac:dyDescent="0.4">
      <c r="B144" s="4"/>
    </row>
    <row r="145" spans="2:2" x14ac:dyDescent="0.4">
      <c r="B145" s="4"/>
    </row>
    <row r="146" spans="2:2" x14ac:dyDescent="0.4">
      <c r="B146" s="4"/>
    </row>
    <row r="147" spans="2:2" x14ac:dyDescent="0.4">
      <c r="B147" s="4"/>
    </row>
    <row r="148" spans="2:2" x14ac:dyDescent="0.4">
      <c r="B148" s="4"/>
    </row>
    <row r="149" spans="2:2" x14ac:dyDescent="0.4">
      <c r="B149" s="4"/>
    </row>
    <row r="150" spans="2:2" x14ac:dyDescent="0.4">
      <c r="B150" s="4"/>
    </row>
    <row r="151" spans="2:2" x14ac:dyDescent="0.4">
      <c r="B151" s="4"/>
    </row>
    <row r="152" spans="2:2" x14ac:dyDescent="0.4">
      <c r="B152" s="4"/>
    </row>
    <row r="153" spans="2:2" x14ac:dyDescent="0.4">
      <c r="B153" s="4"/>
    </row>
    <row r="154" spans="2:2" x14ac:dyDescent="0.4">
      <c r="B154" s="4"/>
    </row>
    <row r="155" spans="2:2" x14ac:dyDescent="0.4">
      <c r="B155" s="4"/>
    </row>
    <row r="156" spans="2:2" x14ac:dyDescent="0.4">
      <c r="B156" s="4"/>
    </row>
    <row r="157" spans="2:2" x14ac:dyDescent="0.4">
      <c r="B157" s="4"/>
    </row>
    <row r="158" spans="2:2" x14ac:dyDescent="0.4">
      <c r="B158" s="4"/>
    </row>
    <row r="159" spans="2:2" x14ac:dyDescent="0.4">
      <c r="B159" s="4"/>
    </row>
    <row r="160" spans="2:2" x14ac:dyDescent="0.4">
      <c r="B160" s="4"/>
    </row>
    <row r="161" spans="2:2" x14ac:dyDescent="0.4">
      <c r="B161" s="4"/>
    </row>
    <row r="162" spans="2:2" x14ac:dyDescent="0.4">
      <c r="B162" s="4"/>
    </row>
    <row r="163" spans="2:2" x14ac:dyDescent="0.4">
      <c r="B163" s="4"/>
    </row>
    <row r="164" spans="2:2" x14ac:dyDescent="0.4">
      <c r="B164" s="4"/>
    </row>
    <row r="165" spans="2:2" x14ac:dyDescent="0.4">
      <c r="B165" s="4"/>
    </row>
    <row r="166" spans="2:2" x14ac:dyDescent="0.4">
      <c r="B166" s="4"/>
    </row>
    <row r="167" spans="2:2" x14ac:dyDescent="0.4">
      <c r="B167" s="4"/>
    </row>
    <row r="168" spans="2:2" x14ac:dyDescent="0.4">
      <c r="B168" s="4"/>
    </row>
    <row r="169" spans="2:2" x14ac:dyDescent="0.4">
      <c r="B169" s="4"/>
    </row>
    <row r="170" spans="2:2" x14ac:dyDescent="0.4">
      <c r="B170" s="4"/>
    </row>
    <row r="171" spans="2:2" x14ac:dyDescent="0.4">
      <c r="B171" s="4"/>
    </row>
    <row r="172" spans="2:2" x14ac:dyDescent="0.4">
      <c r="B172" s="4"/>
    </row>
    <row r="173" spans="2:2" x14ac:dyDescent="0.4">
      <c r="B173" s="4"/>
    </row>
    <row r="174" spans="2:2" x14ac:dyDescent="0.4">
      <c r="B174" s="4"/>
    </row>
    <row r="175" spans="2:2" x14ac:dyDescent="0.4">
      <c r="B175" s="4"/>
    </row>
    <row r="176" spans="2:2" x14ac:dyDescent="0.4">
      <c r="B176" s="4"/>
    </row>
    <row r="177" spans="2:2" x14ac:dyDescent="0.4">
      <c r="B177" s="4"/>
    </row>
    <row r="178" spans="2:2" x14ac:dyDescent="0.4">
      <c r="B178" s="4"/>
    </row>
    <row r="179" spans="2:2" x14ac:dyDescent="0.4">
      <c r="B179" s="4"/>
    </row>
    <row r="180" spans="2:2" x14ac:dyDescent="0.4">
      <c r="B180" s="4"/>
    </row>
    <row r="181" spans="2:2" x14ac:dyDescent="0.4">
      <c r="B181" s="4"/>
    </row>
    <row r="182" spans="2:2" x14ac:dyDescent="0.4">
      <c r="B182" s="4"/>
    </row>
    <row r="183" spans="2:2" x14ac:dyDescent="0.4">
      <c r="B183" s="4"/>
    </row>
    <row r="184" spans="2:2" x14ac:dyDescent="0.4">
      <c r="B184" s="4"/>
    </row>
    <row r="185" spans="2:2" x14ac:dyDescent="0.4">
      <c r="B185" s="4"/>
    </row>
    <row r="186" spans="2:2" x14ac:dyDescent="0.4">
      <c r="B186" s="4"/>
    </row>
    <row r="187" spans="2:2" x14ac:dyDescent="0.4">
      <c r="B187" s="4"/>
    </row>
    <row r="188" spans="2:2" x14ac:dyDescent="0.4">
      <c r="B188" s="4"/>
    </row>
    <row r="189" spans="2:2" x14ac:dyDescent="0.4">
      <c r="B189" s="4"/>
    </row>
    <row r="190" spans="2:2" x14ac:dyDescent="0.4">
      <c r="B190" s="4"/>
    </row>
    <row r="191" spans="2:2" x14ac:dyDescent="0.4">
      <c r="B191" s="4"/>
    </row>
    <row r="192" spans="2:2" x14ac:dyDescent="0.4">
      <c r="B192" s="4"/>
    </row>
    <row r="193" spans="2:2" x14ac:dyDescent="0.4">
      <c r="B193" s="4"/>
    </row>
    <row r="194" spans="2:2" x14ac:dyDescent="0.4">
      <c r="B194" s="4"/>
    </row>
    <row r="195" spans="2:2" x14ac:dyDescent="0.4">
      <c r="B195" s="4"/>
    </row>
    <row r="196" spans="2:2" x14ac:dyDescent="0.4">
      <c r="B196" s="4"/>
    </row>
    <row r="197" spans="2:2" x14ac:dyDescent="0.4">
      <c r="B197" s="4"/>
    </row>
    <row r="198" spans="2:2" x14ac:dyDescent="0.4">
      <c r="B198" s="4"/>
    </row>
    <row r="199" spans="2:2" x14ac:dyDescent="0.4">
      <c r="B199" s="4"/>
    </row>
    <row r="200" spans="2:2" x14ac:dyDescent="0.4">
      <c r="B200" s="4"/>
    </row>
    <row r="201" spans="2:2" x14ac:dyDescent="0.4">
      <c r="B201" s="4"/>
    </row>
    <row r="202" spans="2:2" x14ac:dyDescent="0.4">
      <c r="B202" s="4"/>
    </row>
    <row r="203" spans="2:2" x14ac:dyDescent="0.4">
      <c r="B203" s="4"/>
    </row>
    <row r="204" spans="2:2" x14ac:dyDescent="0.4">
      <c r="B204" s="4"/>
    </row>
    <row r="205" spans="2:2" x14ac:dyDescent="0.4">
      <c r="B205" s="4"/>
    </row>
    <row r="206" spans="2:2" x14ac:dyDescent="0.4">
      <c r="B206" s="4"/>
    </row>
    <row r="207" spans="2:2" x14ac:dyDescent="0.4">
      <c r="B207" s="4"/>
    </row>
    <row r="208" spans="2:2" x14ac:dyDescent="0.4">
      <c r="B208" s="4"/>
    </row>
    <row r="209" spans="2:2" x14ac:dyDescent="0.4">
      <c r="B209" s="4"/>
    </row>
    <row r="210" spans="2:2" x14ac:dyDescent="0.4">
      <c r="B210" s="4"/>
    </row>
    <row r="211" spans="2:2" x14ac:dyDescent="0.4">
      <c r="B211" s="4"/>
    </row>
    <row r="212" spans="2:2" x14ac:dyDescent="0.4">
      <c r="B212" s="4"/>
    </row>
    <row r="213" spans="2:2" x14ac:dyDescent="0.4">
      <c r="B213" s="4"/>
    </row>
    <row r="214" spans="2:2" x14ac:dyDescent="0.4">
      <c r="B214" s="4"/>
    </row>
    <row r="215" spans="2:2" x14ac:dyDescent="0.4">
      <c r="B215" s="4"/>
    </row>
    <row r="216" spans="2:2" x14ac:dyDescent="0.4">
      <c r="B216" s="4"/>
    </row>
    <row r="217" spans="2:2" x14ac:dyDescent="0.4">
      <c r="B217" s="4"/>
    </row>
    <row r="218" spans="2:2" x14ac:dyDescent="0.4">
      <c r="B218" s="4"/>
    </row>
    <row r="219" spans="2:2" x14ac:dyDescent="0.4">
      <c r="B219" s="4"/>
    </row>
    <row r="220" spans="2:2" x14ac:dyDescent="0.4">
      <c r="B220" s="4"/>
    </row>
    <row r="221" spans="2:2" x14ac:dyDescent="0.4">
      <c r="B221" s="4"/>
    </row>
    <row r="222" spans="2:2" x14ac:dyDescent="0.4">
      <c r="B222" s="4"/>
    </row>
    <row r="223" spans="2:2" x14ac:dyDescent="0.4">
      <c r="B223" s="4"/>
    </row>
    <row r="224" spans="2:2" x14ac:dyDescent="0.4">
      <c r="B224" s="4"/>
    </row>
    <row r="225" spans="2:2" x14ac:dyDescent="0.4">
      <c r="B225" s="4"/>
    </row>
    <row r="226" spans="2:2" x14ac:dyDescent="0.4">
      <c r="B226" s="4"/>
    </row>
    <row r="227" spans="2:2" x14ac:dyDescent="0.4">
      <c r="B227" s="4"/>
    </row>
    <row r="228" spans="2:2" x14ac:dyDescent="0.4">
      <c r="B228" s="4"/>
    </row>
    <row r="229" spans="2:2" x14ac:dyDescent="0.4">
      <c r="B229" s="4"/>
    </row>
    <row r="230" spans="2:2" x14ac:dyDescent="0.4">
      <c r="B230" s="4"/>
    </row>
    <row r="231" spans="2:2" x14ac:dyDescent="0.4">
      <c r="B231" s="4"/>
    </row>
    <row r="232" spans="2:2" x14ac:dyDescent="0.4">
      <c r="B232" s="4"/>
    </row>
    <row r="233" spans="2:2" x14ac:dyDescent="0.4">
      <c r="B233" s="4"/>
    </row>
    <row r="234" spans="2:2" x14ac:dyDescent="0.4">
      <c r="B234" s="4"/>
    </row>
    <row r="235" spans="2:2" x14ac:dyDescent="0.4">
      <c r="B235" s="4"/>
    </row>
    <row r="236" spans="2:2" x14ac:dyDescent="0.4">
      <c r="B236" s="4"/>
    </row>
    <row r="237" spans="2:2" x14ac:dyDescent="0.4">
      <c r="B237" s="4"/>
    </row>
    <row r="238" spans="2:2" x14ac:dyDescent="0.4">
      <c r="B238" s="4"/>
    </row>
    <row r="239" spans="2:2" x14ac:dyDescent="0.4">
      <c r="B239" s="4"/>
    </row>
    <row r="240" spans="2:2" x14ac:dyDescent="0.4">
      <c r="B240" s="4"/>
    </row>
    <row r="241" spans="2:2" x14ac:dyDescent="0.4">
      <c r="B241" s="4"/>
    </row>
    <row r="242" spans="2:2" x14ac:dyDescent="0.4">
      <c r="B242" s="4"/>
    </row>
    <row r="243" spans="2:2" x14ac:dyDescent="0.4">
      <c r="B243" s="4"/>
    </row>
    <row r="244" spans="2:2" x14ac:dyDescent="0.4">
      <c r="B244" s="4"/>
    </row>
    <row r="245" spans="2:2" x14ac:dyDescent="0.4">
      <c r="B245" s="4"/>
    </row>
    <row r="246" spans="2:2" x14ac:dyDescent="0.4">
      <c r="B246" s="4"/>
    </row>
    <row r="247" spans="2:2" x14ac:dyDescent="0.4">
      <c r="B247" s="4"/>
    </row>
    <row r="248" spans="2:2" x14ac:dyDescent="0.4">
      <c r="B248" s="4"/>
    </row>
    <row r="249" spans="2:2" x14ac:dyDescent="0.4">
      <c r="B249" s="4"/>
    </row>
    <row r="250" spans="2:2" x14ac:dyDescent="0.4">
      <c r="B250" s="4"/>
    </row>
    <row r="251" spans="2:2" x14ac:dyDescent="0.4">
      <c r="B251" s="4"/>
    </row>
    <row r="252" spans="2:2" x14ac:dyDescent="0.4">
      <c r="B252" s="4"/>
    </row>
    <row r="253" spans="2:2" x14ac:dyDescent="0.4">
      <c r="B253" s="4"/>
    </row>
    <row r="254" spans="2:2" x14ac:dyDescent="0.4">
      <c r="B254" s="4"/>
    </row>
    <row r="255" spans="2:2" x14ac:dyDescent="0.4">
      <c r="B255" s="4"/>
    </row>
    <row r="256" spans="2:2" x14ac:dyDescent="0.4">
      <c r="B256" s="4"/>
    </row>
    <row r="257" spans="2:2" x14ac:dyDescent="0.4">
      <c r="B257" s="4"/>
    </row>
    <row r="258" spans="2:2" x14ac:dyDescent="0.4">
      <c r="B258" s="4"/>
    </row>
    <row r="259" spans="2:2" x14ac:dyDescent="0.4">
      <c r="B259" s="4"/>
    </row>
    <row r="260" spans="2:2" x14ac:dyDescent="0.4">
      <c r="B260" s="4"/>
    </row>
    <row r="261" spans="2:2" x14ac:dyDescent="0.4">
      <c r="B261" s="4"/>
    </row>
    <row r="262" spans="2:2" x14ac:dyDescent="0.4">
      <c r="B262" s="4"/>
    </row>
    <row r="263" spans="2:2" x14ac:dyDescent="0.4">
      <c r="B263" s="4"/>
    </row>
    <row r="264" spans="2:2" x14ac:dyDescent="0.4">
      <c r="B264" s="4"/>
    </row>
    <row r="265" spans="2:2" x14ac:dyDescent="0.4">
      <c r="B265" s="4"/>
    </row>
    <row r="266" spans="2:2" x14ac:dyDescent="0.4">
      <c r="B266" s="4"/>
    </row>
    <row r="267" spans="2:2" x14ac:dyDescent="0.4">
      <c r="B267" s="4"/>
    </row>
    <row r="268" spans="2:2" x14ac:dyDescent="0.4">
      <c r="B268" s="4"/>
    </row>
    <row r="269" spans="2:2" x14ac:dyDescent="0.4">
      <c r="B269" s="4"/>
    </row>
    <row r="270" spans="2:2" x14ac:dyDescent="0.4">
      <c r="B270" s="4"/>
    </row>
    <row r="271" spans="2:2" x14ac:dyDescent="0.4">
      <c r="B271" s="4"/>
    </row>
    <row r="272" spans="2:2" x14ac:dyDescent="0.4">
      <c r="B272" s="4"/>
    </row>
    <row r="273" spans="2:2" x14ac:dyDescent="0.4">
      <c r="B273" s="4"/>
    </row>
    <row r="274" spans="2:2" x14ac:dyDescent="0.4">
      <c r="B274" s="4"/>
    </row>
    <row r="275" spans="2:2" x14ac:dyDescent="0.4">
      <c r="B275" s="4"/>
    </row>
    <row r="276" spans="2:2" x14ac:dyDescent="0.4">
      <c r="B276" s="4"/>
    </row>
    <row r="277" spans="2:2" x14ac:dyDescent="0.4">
      <c r="B277" s="4"/>
    </row>
    <row r="278" spans="2:2" x14ac:dyDescent="0.4">
      <c r="B278" s="4"/>
    </row>
    <row r="279" spans="2:2" x14ac:dyDescent="0.4">
      <c r="B279" s="4"/>
    </row>
    <row r="280" spans="2:2" x14ac:dyDescent="0.4">
      <c r="B280" s="4"/>
    </row>
    <row r="281" spans="2:2" x14ac:dyDescent="0.4">
      <c r="B281" s="4"/>
    </row>
    <row r="282" spans="2:2" x14ac:dyDescent="0.4">
      <c r="B282" s="4"/>
    </row>
    <row r="283" spans="2:2" x14ac:dyDescent="0.4">
      <c r="B283" s="4"/>
    </row>
    <row r="284" spans="2:2" x14ac:dyDescent="0.4">
      <c r="B284" s="4"/>
    </row>
    <row r="285" spans="2:2" x14ac:dyDescent="0.4">
      <c r="B285" s="4"/>
    </row>
    <row r="286" spans="2:2" x14ac:dyDescent="0.4">
      <c r="B286" s="4"/>
    </row>
    <row r="287" spans="2:2" x14ac:dyDescent="0.4">
      <c r="B287" s="4"/>
    </row>
    <row r="288" spans="2:2" x14ac:dyDescent="0.4">
      <c r="B288" s="4"/>
    </row>
    <row r="289" spans="2:2" x14ac:dyDescent="0.4">
      <c r="B289" s="4"/>
    </row>
    <row r="290" spans="2:2" x14ac:dyDescent="0.4">
      <c r="B290" s="4"/>
    </row>
    <row r="291" spans="2:2" x14ac:dyDescent="0.4">
      <c r="B291" s="4"/>
    </row>
    <row r="292" spans="2:2" x14ac:dyDescent="0.4">
      <c r="B292" s="4"/>
    </row>
    <row r="293" spans="2:2" x14ac:dyDescent="0.4">
      <c r="B293" s="4"/>
    </row>
    <row r="294" spans="2:2" x14ac:dyDescent="0.4">
      <c r="B294" s="4"/>
    </row>
    <row r="295" spans="2:2" x14ac:dyDescent="0.4">
      <c r="B295" s="4"/>
    </row>
    <row r="296" spans="2:2" x14ac:dyDescent="0.4">
      <c r="B296" s="4"/>
    </row>
    <row r="297" spans="2:2" x14ac:dyDescent="0.4">
      <c r="B297" s="4"/>
    </row>
    <row r="298" spans="2:2" x14ac:dyDescent="0.4">
      <c r="B298" s="4"/>
    </row>
    <row r="299" spans="2:2" x14ac:dyDescent="0.4">
      <c r="B299" s="4"/>
    </row>
    <row r="300" spans="2:2" x14ac:dyDescent="0.4">
      <c r="B300" s="4"/>
    </row>
    <row r="301" spans="2:2" x14ac:dyDescent="0.4">
      <c r="B301" s="4"/>
    </row>
    <row r="302" spans="2:2" x14ac:dyDescent="0.4">
      <c r="B302" s="4"/>
    </row>
    <row r="303" spans="2:2" x14ac:dyDescent="0.4">
      <c r="B303" s="4"/>
    </row>
    <row r="304" spans="2:2" x14ac:dyDescent="0.4">
      <c r="B304" s="4"/>
    </row>
    <row r="305" spans="2:2" x14ac:dyDescent="0.4">
      <c r="B305" s="4"/>
    </row>
    <row r="306" spans="2:2" x14ac:dyDescent="0.4">
      <c r="B306" s="4"/>
    </row>
    <row r="307" spans="2:2" x14ac:dyDescent="0.4">
      <c r="B307" s="4"/>
    </row>
    <row r="308" spans="2:2" x14ac:dyDescent="0.4">
      <c r="B308" s="4"/>
    </row>
    <row r="309" spans="2:2" x14ac:dyDescent="0.4">
      <c r="B309" s="4"/>
    </row>
    <row r="310" spans="2:2" x14ac:dyDescent="0.4">
      <c r="B310" s="4"/>
    </row>
    <row r="311" spans="2:2" x14ac:dyDescent="0.4">
      <c r="B311" s="4"/>
    </row>
    <row r="312" spans="2:2" x14ac:dyDescent="0.4">
      <c r="B312" s="4"/>
    </row>
    <row r="313" spans="2:2" x14ac:dyDescent="0.4">
      <c r="B313" s="4"/>
    </row>
    <row r="314" spans="2:2" x14ac:dyDescent="0.4">
      <c r="B314" s="4"/>
    </row>
    <row r="315" spans="2:2" x14ac:dyDescent="0.4">
      <c r="B315" s="4"/>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E169E-025A-42AC-8745-9B8034604987}">
  <dimension ref="A1:B315"/>
  <sheetViews>
    <sheetView zoomScale="90" zoomScaleNormal="90" workbookViewId="0">
      <selection activeCell="P17" sqref="P17"/>
    </sheetView>
  </sheetViews>
  <sheetFormatPr defaultRowHeight="19.5" x14ac:dyDescent="0.4"/>
  <cols>
    <col min="1" max="1" width="18.36328125" bestFit="1" customWidth="1"/>
    <col min="2" max="2" width="18.1796875" style="10" bestFit="1" customWidth="1"/>
    <col min="3" max="3" width="5.26953125" bestFit="1" customWidth="1"/>
    <col min="4" max="4" width="22" bestFit="1" customWidth="1"/>
    <col min="5" max="5" width="7.81640625" bestFit="1" customWidth="1"/>
    <col min="6" max="6" width="16" bestFit="1" customWidth="1"/>
    <col min="7" max="7" width="5.36328125" bestFit="1" customWidth="1"/>
    <col min="8" max="8" width="10.26953125" bestFit="1" customWidth="1"/>
    <col min="9" max="9" width="5.36328125" bestFit="1" customWidth="1"/>
    <col min="10" max="10" width="9.08984375" bestFit="1" customWidth="1"/>
    <col min="11" max="11" width="27.90625" bestFit="1" customWidth="1"/>
    <col min="12" max="12" width="5.26953125" bestFit="1" customWidth="1"/>
    <col min="13" max="13" width="22" bestFit="1" customWidth="1"/>
    <col min="14" max="14" width="7.81640625" bestFit="1" customWidth="1"/>
    <col min="15" max="15" width="16" bestFit="1" customWidth="1"/>
    <col min="16" max="16" width="5.36328125" bestFit="1" customWidth="1"/>
    <col min="17" max="17" width="17.6328125" bestFit="1" customWidth="1"/>
    <col min="18" max="18" width="27.90625" bestFit="1" customWidth="1"/>
    <col min="19" max="19" width="5.26953125" bestFit="1" customWidth="1"/>
    <col min="20" max="20" width="22" bestFit="1" customWidth="1"/>
    <col min="21" max="21" width="16" bestFit="1" customWidth="1"/>
    <col min="22" max="22" width="5.36328125" bestFit="1" customWidth="1"/>
    <col min="23" max="23" width="9.90625" bestFit="1" customWidth="1"/>
    <col min="24" max="24" width="20.08984375" bestFit="1" customWidth="1"/>
    <col min="25" max="25" width="22" bestFit="1" customWidth="1"/>
    <col min="26" max="26" width="5.36328125" bestFit="1" customWidth="1"/>
    <col min="27" max="27" width="23.08984375" bestFit="1" customWidth="1"/>
    <col min="28" max="28" width="10.26953125" bestFit="1" customWidth="1"/>
  </cols>
  <sheetData>
    <row r="1" spans="1:2" x14ac:dyDescent="0.4">
      <c r="B1"/>
    </row>
    <row r="3" spans="1:2" x14ac:dyDescent="0.4">
      <c r="A3" s="6" t="s">
        <v>470</v>
      </c>
      <c r="B3" s="4" t="s">
        <v>477</v>
      </c>
    </row>
    <row r="4" spans="1:2" x14ac:dyDescent="0.4">
      <c r="A4" s="7" t="s">
        <v>121</v>
      </c>
      <c r="B4" s="4">
        <v>9</v>
      </c>
    </row>
    <row r="5" spans="1:2" x14ac:dyDescent="0.4">
      <c r="A5" s="7" t="s">
        <v>268</v>
      </c>
      <c r="B5" s="4">
        <v>1</v>
      </c>
    </row>
    <row r="6" spans="1:2" x14ac:dyDescent="0.4">
      <c r="A6" s="7" t="s">
        <v>15</v>
      </c>
      <c r="B6" s="4">
        <v>50</v>
      </c>
    </row>
    <row r="7" spans="1:2" x14ac:dyDescent="0.4">
      <c r="A7" s="7" t="s">
        <v>4</v>
      </c>
      <c r="B7" s="4">
        <v>209</v>
      </c>
    </row>
    <row r="8" spans="1:2" x14ac:dyDescent="0.4">
      <c r="A8" s="7" t="s">
        <v>77</v>
      </c>
      <c r="B8" s="4">
        <v>31</v>
      </c>
    </row>
    <row r="9" spans="1:2" x14ac:dyDescent="0.4">
      <c r="A9" s="7" t="s">
        <v>91</v>
      </c>
      <c r="B9" s="4">
        <v>11</v>
      </c>
    </row>
    <row r="10" spans="1:2" x14ac:dyDescent="0.4">
      <c r="A10" s="7" t="s">
        <v>472</v>
      </c>
      <c r="B10" s="4">
        <v>311</v>
      </c>
    </row>
    <row r="11" spans="1:2" x14ac:dyDescent="0.4">
      <c r="B11"/>
    </row>
    <row r="12" spans="1:2" x14ac:dyDescent="0.4">
      <c r="B12"/>
    </row>
    <row r="13" spans="1:2" x14ac:dyDescent="0.4">
      <c r="B13"/>
    </row>
    <row r="14" spans="1:2" x14ac:dyDescent="0.4">
      <c r="B14"/>
    </row>
    <row r="15" spans="1:2" x14ac:dyDescent="0.4">
      <c r="B15"/>
    </row>
    <row r="16" spans="1:2"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s="4"/>
    </row>
    <row r="27" spans="2:2" x14ac:dyDescent="0.4">
      <c r="B27" s="4"/>
    </row>
    <row r="28" spans="2:2" x14ac:dyDescent="0.4">
      <c r="B28" s="4"/>
    </row>
    <row r="29" spans="2:2" x14ac:dyDescent="0.4">
      <c r="B29" s="4"/>
    </row>
    <row r="30" spans="2:2" x14ac:dyDescent="0.4">
      <c r="B30" s="4"/>
    </row>
    <row r="31" spans="2:2" x14ac:dyDescent="0.4">
      <c r="B31" s="4"/>
    </row>
    <row r="32" spans="2:2" x14ac:dyDescent="0.4">
      <c r="B32" s="4"/>
    </row>
    <row r="33" spans="2:2" x14ac:dyDescent="0.4">
      <c r="B33" s="4"/>
    </row>
    <row r="34" spans="2:2" x14ac:dyDescent="0.4">
      <c r="B34" s="4"/>
    </row>
    <row r="35" spans="2:2" x14ac:dyDescent="0.4">
      <c r="B35" s="4"/>
    </row>
    <row r="36" spans="2:2" x14ac:dyDescent="0.4">
      <c r="B36" s="4"/>
    </row>
    <row r="37" spans="2:2" x14ac:dyDescent="0.4">
      <c r="B37" s="4"/>
    </row>
    <row r="38" spans="2:2" x14ac:dyDescent="0.4">
      <c r="B38" s="4"/>
    </row>
    <row r="39" spans="2:2" x14ac:dyDescent="0.4">
      <c r="B39" s="4"/>
    </row>
    <row r="40" spans="2:2" x14ac:dyDescent="0.4">
      <c r="B40" s="4"/>
    </row>
    <row r="41" spans="2:2" x14ac:dyDescent="0.4">
      <c r="B41" s="4"/>
    </row>
    <row r="42" spans="2:2" x14ac:dyDescent="0.4">
      <c r="B42" s="4"/>
    </row>
    <row r="43" spans="2:2" x14ac:dyDescent="0.4">
      <c r="B43" s="4"/>
    </row>
    <row r="44" spans="2:2" x14ac:dyDescent="0.4">
      <c r="B44" s="4"/>
    </row>
    <row r="45" spans="2:2" x14ac:dyDescent="0.4">
      <c r="B45" s="4"/>
    </row>
    <row r="46" spans="2:2" x14ac:dyDescent="0.4">
      <c r="B46" s="4"/>
    </row>
    <row r="47" spans="2:2" x14ac:dyDescent="0.4">
      <c r="B47" s="4"/>
    </row>
    <row r="48" spans="2:2" x14ac:dyDescent="0.4">
      <c r="B48" s="4"/>
    </row>
    <row r="49" spans="2:2" x14ac:dyDescent="0.4">
      <c r="B49" s="4"/>
    </row>
    <row r="50" spans="2:2" x14ac:dyDescent="0.4">
      <c r="B50" s="4"/>
    </row>
    <row r="51" spans="2:2" x14ac:dyDescent="0.4">
      <c r="B51" s="4"/>
    </row>
    <row r="52" spans="2:2" x14ac:dyDescent="0.4">
      <c r="B52" s="4"/>
    </row>
    <row r="53" spans="2:2" x14ac:dyDescent="0.4">
      <c r="B53" s="4"/>
    </row>
    <row r="54" spans="2:2" x14ac:dyDescent="0.4">
      <c r="B54" s="4"/>
    </row>
    <row r="55" spans="2:2" x14ac:dyDescent="0.4">
      <c r="B55" s="4"/>
    </row>
    <row r="56" spans="2:2" x14ac:dyDescent="0.4">
      <c r="B56" s="4"/>
    </row>
    <row r="57" spans="2:2" x14ac:dyDescent="0.4">
      <c r="B57" s="4"/>
    </row>
    <row r="58" spans="2:2" x14ac:dyDescent="0.4">
      <c r="B58" s="4"/>
    </row>
    <row r="59" spans="2:2" x14ac:dyDescent="0.4">
      <c r="B59" s="4"/>
    </row>
    <row r="60" spans="2:2" x14ac:dyDescent="0.4">
      <c r="B60" s="4"/>
    </row>
    <row r="61" spans="2:2" x14ac:dyDescent="0.4">
      <c r="B61" s="4"/>
    </row>
    <row r="62" spans="2:2" x14ac:dyDescent="0.4">
      <c r="B62" s="4"/>
    </row>
    <row r="63" spans="2:2" x14ac:dyDescent="0.4">
      <c r="B63" s="4"/>
    </row>
    <row r="64" spans="2:2" x14ac:dyDescent="0.4">
      <c r="B64" s="4"/>
    </row>
    <row r="65" spans="2:2" x14ac:dyDescent="0.4">
      <c r="B65" s="4"/>
    </row>
    <row r="66" spans="2:2" x14ac:dyDescent="0.4">
      <c r="B66" s="4"/>
    </row>
    <row r="67" spans="2:2" x14ac:dyDescent="0.4">
      <c r="B67" s="4"/>
    </row>
    <row r="68" spans="2:2" x14ac:dyDescent="0.4">
      <c r="B68" s="4"/>
    </row>
    <row r="69" spans="2:2" x14ac:dyDescent="0.4">
      <c r="B69" s="4"/>
    </row>
    <row r="70" spans="2:2" x14ac:dyDescent="0.4">
      <c r="B70" s="4"/>
    </row>
    <row r="71" spans="2:2" x14ac:dyDescent="0.4">
      <c r="B71" s="4"/>
    </row>
    <row r="72" spans="2:2" x14ac:dyDescent="0.4">
      <c r="B72" s="4"/>
    </row>
    <row r="73" spans="2:2" x14ac:dyDescent="0.4">
      <c r="B73" s="4"/>
    </row>
    <row r="74" spans="2:2" x14ac:dyDescent="0.4">
      <c r="B74" s="4"/>
    </row>
    <row r="75" spans="2:2" x14ac:dyDescent="0.4">
      <c r="B75" s="4"/>
    </row>
    <row r="76" spans="2:2" x14ac:dyDescent="0.4">
      <c r="B76" s="4"/>
    </row>
    <row r="77" spans="2:2" x14ac:dyDescent="0.4">
      <c r="B77" s="4"/>
    </row>
    <row r="78" spans="2:2" x14ac:dyDescent="0.4">
      <c r="B78" s="4"/>
    </row>
    <row r="79" spans="2:2" x14ac:dyDescent="0.4">
      <c r="B79" s="4"/>
    </row>
    <row r="80" spans="2:2" x14ac:dyDescent="0.4">
      <c r="B80" s="4"/>
    </row>
    <row r="81" spans="2:2" x14ac:dyDescent="0.4">
      <c r="B81" s="4"/>
    </row>
    <row r="82" spans="2:2" x14ac:dyDescent="0.4">
      <c r="B82" s="4"/>
    </row>
    <row r="83" spans="2:2" x14ac:dyDescent="0.4">
      <c r="B83" s="4"/>
    </row>
    <row r="84" spans="2:2" x14ac:dyDescent="0.4">
      <c r="B84" s="4"/>
    </row>
    <row r="85" spans="2:2" x14ac:dyDescent="0.4">
      <c r="B85" s="4"/>
    </row>
    <row r="86" spans="2:2" x14ac:dyDescent="0.4">
      <c r="B86" s="4"/>
    </row>
    <row r="87" spans="2:2" x14ac:dyDescent="0.4">
      <c r="B87" s="4"/>
    </row>
    <row r="88" spans="2:2" x14ac:dyDescent="0.4">
      <c r="B88" s="4"/>
    </row>
    <row r="89" spans="2:2" x14ac:dyDescent="0.4">
      <c r="B89" s="4"/>
    </row>
    <row r="90" spans="2:2" x14ac:dyDescent="0.4">
      <c r="B90" s="4"/>
    </row>
    <row r="91" spans="2:2" x14ac:dyDescent="0.4">
      <c r="B91" s="4"/>
    </row>
    <row r="92" spans="2:2" x14ac:dyDescent="0.4">
      <c r="B92" s="4"/>
    </row>
    <row r="93" spans="2:2" x14ac:dyDescent="0.4">
      <c r="B93" s="4"/>
    </row>
    <row r="94" spans="2:2" x14ac:dyDescent="0.4">
      <c r="B94" s="4"/>
    </row>
    <row r="95" spans="2:2" x14ac:dyDescent="0.4">
      <c r="B95" s="4"/>
    </row>
    <row r="96" spans="2:2" x14ac:dyDescent="0.4">
      <c r="B96" s="4"/>
    </row>
    <row r="97" spans="2:2" x14ac:dyDescent="0.4">
      <c r="B97" s="4"/>
    </row>
    <row r="98" spans="2:2" x14ac:dyDescent="0.4">
      <c r="B98" s="4"/>
    </row>
    <row r="99" spans="2:2" x14ac:dyDescent="0.4">
      <c r="B99" s="4"/>
    </row>
    <row r="100" spans="2:2" x14ac:dyDescent="0.4">
      <c r="B100" s="4"/>
    </row>
    <row r="101" spans="2:2" x14ac:dyDescent="0.4">
      <c r="B101" s="4"/>
    </row>
    <row r="102" spans="2:2" x14ac:dyDescent="0.4">
      <c r="B102" s="4"/>
    </row>
    <row r="103" spans="2:2" x14ac:dyDescent="0.4">
      <c r="B103" s="4"/>
    </row>
    <row r="104" spans="2:2" x14ac:dyDescent="0.4">
      <c r="B104" s="4"/>
    </row>
    <row r="105" spans="2:2" x14ac:dyDescent="0.4">
      <c r="B105" s="4"/>
    </row>
    <row r="106" spans="2:2" x14ac:dyDescent="0.4">
      <c r="B106" s="4"/>
    </row>
    <row r="107" spans="2:2" x14ac:dyDescent="0.4">
      <c r="B107" s="4"/>
    </row>
    <row r="108" spans="2:2" x14ac:dyDescent="0.4">
      <c r="B108" s="4"/>
    </row>
    <row r="109" spans="2:2" x14ac:dyDescent="0.4">
      <c r="B109" s="4"/>
    </row>
    <row r="110" spans="2:2" x14ac:dyDescent="0.4">
      <c r="B110" s="4"/>
    </row>
    <row r="111" spans="2:2" x14ac:dyDescent="0.4">
      <c r="B111" s="4"/>
    </row>
    <row r="112" spans="2:2" x14ac:dyDescent="0.4">
      <c r="B112" s="4"/>
    </row>
    <row r="113" spans="2:2" x14ac:dyDescent="0.4">
      <c r="B113" s="4"/>
    </row>
    <row r="114" spans="2:2" x14ac:dyDescent="0.4">
      <c r="B114" s="4"/>
    </row>
    <row r="115" spans="2:2" x14ac:dyDescent="0.4">
      <c r="B115" s="4"/>
    </row>
    <row r="116" spans="2:2" x14ac:dyDescent="0.4">
      <c r="B116" s="4"/>
    </row>
    <row r="117" spans="2:2" x14ac:dyDescent="0.4">
      <c r="B117" s="4"/>
    </row>
    <row r="118" spans="2:2" x14ac:dyDescent="0.4">
      <c r="B118" s="4"/>
    </row>
    <row r="119" spans="2:2" x14ac:dyDescent="0.4">
      <c r="B119" s="4"/>
    </row>
    <row r="120" spans="2:2" x14ac:dyDescent="0.4">
      <c r="B120" s="4"/>
    </row>
    <row r="121" spans="2:2" x14ac:dyDescent="0.4">
      <c r="B121" s="4"/>
    </row>
    <row r="122" spans="2:2" x14ac:dyDescent="0.4">
      <c r="B122" s="4"/>
    </row>
    <row r="123" spans="2:2" x14ac:dyDescent="0.4">
      <c r="B123" s="4"/>
    </row>
    <row r="124" spans="2:2" x14ac:dyDescent="0.4">
      <c r="B124" s="4"/>
    </row>
    <row r="125" spans="2:2" x14ac:dyDescent="0.4">
      <c r="B125" s="4"/>
    </row>
    <row r="126" spans="2:2" x14ac:dyDescent="0.4">
      <c r="B126" s="4"/>
    </row>
    <row r="127" spans="2:2" x14ac:dyDescent="0.4">
      <c r="B127" s="4"/>
    </row>
    <row r="128" spans="2:2" x14ac:dyDescent="0.4">
      <c r="B128" s="4"/>
    </row>
    <row r="129" spans="2:2" x14ac:dyDescent="0.4">
      <c r="B129" s="4"/>
    </row>
    <row r="130" spans="2:2" x14ac:dyDescent="0.4">
      <c r="B130" s="4"/>
    </row>
    <row r="131" spans="2:2" x14ac:dyDescent="0.4">
      <c r="B131" s="4"/>
    </row>
    <row r="132" spans="2:2" x14ac:dyDescent="0.4">
      <c r="B132" s="4"/>
    </row>
    <row r="133" spans="2:2" x14ac:dyDescent="0.4">
      <c r="B133" s="4"/>
    </row>
    <row r="134" spans="2:2" x14ac:dyDescent="0.4">
      <c r="B134" s="4"/>
    </row>
    <row r="135" spans="2:2" x14ac:dyDescent="0.4">
      <c r="B135" s="4"/>
    </row>
    <row r="136" spans="2:2" x14ac:dyDescent="0.4">
      <c r="B136" s="4"/>
    </row>
    <row r="137" spans="2:2" x14ac:dyDescent="0.4">
      <c r="B137" s="4"/>
    </row>
    <row r="138" spans="2:2" x14ac:dyDescent="0.4">
      <c r="B138" s="4"/>
    </row>
    <row r="139" spans="2:2" x14ac:dyDescent="0.4">
      <c r="B139" s="4"/>
    </row>
    <row r="140" spans="2:2" x14ac:dyDescent="0.4">
      <c r="B140" s="4"/>
    </row>
    <row r="141" spans="2:2" x14ac:dyDescent="0.4">
      <c r="B141" s="4"/>
    </row>
    <row r="142" spans="2:2" x14ac:dyDescent="0.4">
      <c r="B142" s="4"/>
    </row>
    <row r="143" spans="2:2" x14ac:dyDescent="0.4">
      <c r="B143" s="4"/>
    </row>
    <row r="144" spans="2:2" x14ac:dyDescent="0.4">
      <c r="B144" s="4"/>
    </row>
    <row r="145" spans="2:2" x14ac:dyDescent="0.4">
      <c r="B145" s="4"/>
    </row>
    <row r="146" spans="2:2" x14ac:dyDescent="0.4">
      <c r="B146" s="4"/>
    </row>
    <row r="147" spans="2:2" x14ac:dyDescent="0.4">
      <c r="B147" s="4"/>
    </row>
    <row r="148" spans="2:2" x14ac:dyDescent="0.4">
      <c r="B148" s="4"/>
    </row>
    <row r="149" spans="2:2" x14ac:dyDescent="0.4">
      <c r="B149" s="4"/>
    </row>
    <row r="150" spans="2:2" x14ac:dyDescent="0.4">
      <c r="B150" s="4"/>
    </row>
    <row r="151" spans="2:2" x14ac:dyDescent="0.4">
      <c r="B151" s="4"/>
    </row>
    <row r="152" spans="2:2" x14ac:dyDescent="0.4">
      <c r="B152" s="4"/>
    </row>
    <row r="153" spans="2:2" x14ac:dyDescent="0.4">
      <c r="B153" s="4"/>
    </row>
    <row r="154" spans="2:2" x14ac:dyDescent="0.4">
      <c r="B154" s="4"/>
    </row>
    <row r="155" spans="2:2" x14ac:dyDescent="0.4">
      <c r="B155" s="4"/>
    </row>
    <row r="156" spans="2:2" x14ac:dyDescent="0.4">
      <c r="B156" s="4"/>
    </row>
    <row r="157" spans="2:2" x14ac:dyDescent="0.4">
      <c r="B157" s="4"/>
    </row>
    <row r="158" spans="2:2" x14ac:dyDescent="0.4">
      <c r="B158" s="4"/>
    </row>
    <row r="159" spans="2:2" x14ac:dyDescent="0.4">
      <c r="B159" s="4"/>
    </row>
    <row r="160" spans="2:2" x14ac:dyDescent="0.4">
      <c r="B160" s="4"/>
    </row>
    <row r="161" spans="2:2" x14ac:dyDescent="0.4">
      <c r="B161" s="4"/>
    </row>
    <row r="162" spans="2:2" x14ac:dyDescent="0.4">
      <c r="B162" s="4"/>
    </row>
    <row r="163" spans="2:2" x14ac:dyDescent="0.4">
      <c r="B163" s="4"/>
    </row>
    <row r="164" spans="2:2" x14ac:dyDescent="0.4">
      <c r="B164" s="4"/>
    </row>
    <row r="165" spans="2:2" x14ac:dyDescent="0.4">
      <c r="B165" s="4"/>
    </row>
    <row r="166" spans="2:2" x14ac:dyDescent="0.4">
      <c r="B166" s="4"/>
    </row>
    <row r="167" spans="2:2" x14ac:dyDescent="0.4">
      <c r="B167" s="4"/>
    </row>
    <row r="168" spans="2:2" x14ac:dyDescent="0.4">
      <c r="B168" s="4"/>
    </row>
    <row r="169" spans="2:2" x14ac:dyDescent="0.4">
      <c r="B169" s="4"/>
    </row>
    <row r="170" spans="2:2" x14ac:dyDescent="0.4">
      <c r="B170" s="4"/>
    </row>
    <row r="171" spans="2:2" x14ac:dyDescent="0.4">
      <c r="B171" s="4"/>
    </row>
    <row r="172" spans="2:2" x14ac:dyDescent="0.4">
      <c r="B172" s="4"/>
    </row>
    <row r="173" spans="2:2" x14ac:dyDescent="0.4">
      <c r="B173" s="4"/>
    </row>
    <row r="174" spans="2:2" x14ac:dyDescent="0.4">
      <c r="B174" s="4"/>
    </row>
    <row r="175" spans="2:2" x14ac:dyDescent="0.4">
      <c r="B175" s="4"/>
    </row>
    <row r="176" spans="2:2" x14ac:dyDescent="0.4">
      <c r="B176" s="4"/>
    </row>
    <row r="177" spans="2:2" x14ac:dyDescent="0.4">
      <c r="B177" s="4"/>
    </row>
    <row r="178" spans="2:2" x14ac:dyDescent="0.4">
      <c r="B178" s="4"/>
    </row>
    <row r="179" spans="2:2" x14ac:dyDescent="0.4">
      <c r="B179" s="4"/>
    </row>
    <row r="180" spans="2:2" x14ac:dyDescent="0.4">
      <c r="B180" s="4"/>
    </row>
    <row r="181" spans="2:2" x14ac:dyDescent="0.4">
      <c r="B181" s="4"/>
    </row>
    <row r="182" spans="2:2" x14ac:dyDescent="0.4">
      <c r="B182" s="4"/>
    </row>
    <row r="183" spans="2:2" x14ac:dyDescent="0.4">
      <c r="B183" s="4"/>
    </row>
    <row r="184" spans="2:2" x14ac:dyDescent="0.4">
      <c r="B184" s="4"/>
    </row>
    <row r="185" spans="2:2" x14ac:dyDescent="0.4">
      <c r="B185" s="4"/>
    </row>
    <row r="186" spans="2:2" x14ac:dyDescent="0.4">
      <c r="B186" s="4"/>
    </row>
    <row r="187" spans="2:2" x14ac:dyDescent="0.4">
      <c r="B187" s="4"/>
    </row>
    <row r="188" spans="2:2" x14ac:dyDescent="0.4">
      <c r="B188" s="4"/>
    </row>
    <row r="189" spans="2:2" x14ac:dyDescent="0.4">
      <c r="B189" s="4"/>
    </row>
    <row r="190" spans="2:2" x14ac:dyDescent="0.4">
      <c r="B190" s="4"/>
    </row>
    <row r="191" spans="2:2" x14ac:dyDescent="0.4">
      <c r="B191" s="4"/>
    </row>
    <row r="192" spans="2:2" x14ac:dyDescent="0.4">
      <c r="B192" s="4"/>
    </row>
    <row r="193" spans="2:2" x14ac:dyDescent="0.4">
      <c r="B193" s="4"/>
    </row>
    <row r="194" spans="2:2" x14ac:dyDescent="0.4">
      <c r="B194" s="4"/>
    </row>
    <row r="195" spans="2:2" x14ac:dyDescent="0.4">
      <c r="B195" s="4"/>
    </row>
    <row r="196" spans="2:2" x14ac:dyDescent="0.4">
      <c r="B196" s="4"/>
    </row>
    <row r="197" spans="2:2" x14ac:dyDescent="0.4">
      <c r="B197" s="4"/>
    </row>
    <row r="198" spans="2:2" x14ac:dyDescent="0.4">
      <c r="B198" s="4"/>
    </row>
    <row r="199" spans="2:2" x14ac:dyDescent="0.4">
      <c r="B199" s="4"/>
    </row>
    <row r="200" spans="2:2" x14ac:dyDescent="0.4">
      <c r="B200" s="4"/>
    </row>
    <row r="201" spans="2:2" x14ac:dyDescent="0.4">
      <c r="B201" s="4"/>
    </row>
    <row r="202" spans="2:2" x14ac:dyDescent="0.4">
      <c r="B202" s="4"/>
    </row>
    <row r="203" spans="2:2" x14ac:dyDescent="0.4">
      <c r="B203" s="4"/>
    </row>
    <row r="204" spans="2:2" x14ac:dyDescent="0.4">
      <c r="B204" s="4"/>
    </row>
    <row r="205" spans="2:2" x14ac:dyDescent="0.4">
      <c r="B205" s="4"/>
    </row>
    <row r="206" spans="2:2" x14ac:dyDescent="0.4">
      <c r="B206" s="4"/>
    </row>
    <row r="207" spans="2:2" x14ac:dyDescent="0.4">
      <c r="B207" s="4"/>
    </row>
    <row r="208" spans="2:2" x14ac:dyDescent="0.4">
      <c r="B208" s="4"/>
    </row>
    <row r="209" spans="2:2" x14ac:dyDescent="0.4">
      <c r="B209" s="4"/>
    </row>
    <row r="210" spans="2:2" x14ac:dyDescent="0.4">
      <c r="B210" s="4"/>
    </row>
    <row r="211" spans="2:2" x14ac:dyDescent="0.4">
      <c r="B211" s="4"/>
    </row>
    <row r="212" spans="2:2" x14ac:dyDescent="0.4">
      <c r="B212" s="4"/>
    </row>
    <row r="213" spans="2:2" x14ac:dyDescent="0.4">
      <c r="B213" s="4"/>
    </row>
    <row r="214" spans="2:2" x14ac:dyDescent="0.4">
      <c r="B214" s="4"/>
    </row>
    <row r="215" spans="2:2" x14ac:dyDescent="0.4">
      <c r="B215" s="4"/>
    </row>
    <row r="216" spans="2:2" x14ac:dyDescent="0.4">
      <c r="B216" s="4"/>
    </row>
    <row r="217" spans="2:2" x14ac:dyDescent="0.4">
      <c r="B217" s="4"/>
    </row>
    <row r="218" spans="2:2" x14ac:dyDescent="0.4">
      <c r="B218" s="4"/>
    </row>
    <row r="219" spans="2:2" x14ac:dyDescent="0.4">
      <c r="B219" s="4"/>
    </row>
    <row r="220" spans="2:2" x14ac:dyDescent="0.4">
      <c r="B220" s="4"/>
    </row>
    <row r="221" spans="2:2" x14ac:dyDescent="0.4">
      <c r="B221" s="4"/>
    </row>
    <row r="222" spans="2:2" x14ac:dyDescent="0.4">
      <c r="B222" s="4"/>
    </row>
    <row r="223" spans="2:2" x14ac:dyDescent="0.4">
      <c r="B223" s="4"/>
    </row>
    <row r="224" spans="2:2" x14ac:dyDescent="0.4">
      <c r="B224" s="4"/>
    </row>
    <row r="225" spans="2:2" x14ac:dyDescent="0.4">
      <c r="B225" s="4"/>
    </row>
    <row r="226" spans="2:2" x14ac:dyDescent="0.4">
      <c r="B226" s="4"/>
    </row>
    <row r="227" spans="2:2" x14ac:dyDescent="0.4">
      <c r="B227" s="4"/>
    </row>
    <row r="228" spans="2:2" x14ac:dyDescent="0.4">
      <c r="B228" s="4"/>
    </row>
    <row r="229" spans="2:2" x14ac:dyDescent="0.4">
      <c r="B229" s="4"/>
    </row>
    <row r="230" spans="2:2" x14ac:dyDescent="0.4">
      <c r="B230" s="4"/>
    </row>
    <row r="231" spans="2:2" x14ac:dyDescent="0.4">
      <c r="B231" s="4"/>
    </row>
    <row r="232" spans="2:2" x14ac:dyDescent="0.4">
      <c r="B232" s="4"/>
    </row>
    <row r="233" spans="2:2" x14ac:dyDescent="0.4">
      <c r="B233" s="4"/>
    </row>
    <row r="234" spans="2:2" x14ac:dyDescent="0.4">
      <c r="B234" s="4"/>
    </row>
    <row r="235" spans="2:2" x14ac:dyDescent="0.4">
      <c r="B235" s="4"/>
    </row>
    <row r="236" spans="2:2" x14ac:dyDescent="0.4">
      <c r="B236" s="4"/>
    </row>
    <row r="237" spans="2:2" x14ac:dyDescent="0.4">
      <c r="B237" s="4"/>
    </row>
    <row r="238" spans="2:2" x14ac:dyDescent="0.4">
      <c r="B238" s="4"/>
    </row>
    <row r="239" spans="2:2" x14ac:dyDescent="0.4">
      <c r="B239" s="4"/>
    </row>
    <row r="240" spans="2:2" x14ac:dyDescent="0.4">
      <c r="B240" s="4"/>
    </row>
    <row r="241" spans="2:2" x14ac:dyDescent="0.4">
      <c r="B241" s="4"/>
    </row>
    <row r="242" spans="2:2" x14ac:dyDescent="0.4">
      <c r="B242" s="4"/>
    </row>
    <row r="243" spans="2:2" x14ac:dyDescent="0.4">
      <c r="B243" s="4"/>
    </row>
    <row r="244" spans="2:2" x14ac:dyDescent="0.4">
      <c r="B244" s="4"/>
    </row>
    <row r="245" spans="2:2" x14ac:dyDescent="0.4">
      <c r="B245" s="4"/>
    </row>
    <row r="246" spans="2:2" x14ac:dyDescent="0.4">
      <c r="B246" s="4"/>
    </row>
    <row r="247" spans="2:2" x14ac:dyDescent="0.4">
      <c r="B247" s="4"/>
    </row>
    <row r="248" spans="2:2" x14ac:dyDescent="0.4">
      <c r="B248" s="4"/>
    </row>
    <row r="249" spans="2:2" x14ac:dyDescent="0.4">
      <c r="B249" s="4"/>
    </row>
    <row r="250" spans="2:2" x14ac:dyDescent="0.4">
      <c r="B250" s="4"/>
    </row>
    <row r="251" spans="2:2" x14ac:dyDescent="0.4">
      <c r="B251" s="4"/>
    </row>
    <row r="252" spans="2:2" x14ac:dyDescent="0.4">
      <c r="B252" s="4"/>
    </row>
    <row r="253" spans="2:2" x14ac:dyDescent="0.4">
      <c r="B253" s="4"/>
    </row>
    <row r="254" spans="2:2" x14ac:dyDescent="0.4">
      <c r="B254" s="4"/>
    </row>
    <row r="255" spans="2:2" x14ac:dyDescent="0.4">
      <c r="B255" s="4"/>
    </row>
    <row r="256" spans="2:2" x14ac:dyDescent="0.4">
      <c r="B256" s="4"/>
    </row>
    <row r="257" spans="2:2" x14ac:dyDescent="0.4">
      <c r="B257" s="4"/>
    </row>
    <row r="258" spans="2:2" x14ac:dyDescent="0.4">
      <c r="B258" s="4"/>
    </row>
    <row r="259" spans="2:2" x14ac:dyDescent="0.4">
      <c r="B259" s="4"/>
    </row>
    <row r="260" spans="2:2" x14ac:dyDescent="0.4">
      <c r="B260" s="4"/>
    </row>
    <row r="261" spans="2:2" x14ac:dyDescent="0.4">
      <c r="B261" s="4"/>
    </row>
    <row r="262" spans="2:2" x14ac:dyDescent="0.4">
      <c r="B262" s="4"/>
    </row>
    <row r="263" spans="2:2" x14ac:dyDescent="0.4">
      <c r="B263" s="4"/>
    </row>
    <row r="264" spans="2:2" x14ac:dyDescent="0.4">
      <c r="B264" s="4"/>
    </row>
    <row r="265" spans="2:2" x14ac:dyDescent="0.4">
      <c r="B265" s="4"/>
    </row>
    <row r="266" spans="2:2" x14ac:dyDescent="0.4">
      <c r="B266" s="4"/>
    </row>
    <row r="267" spans="2:2" x14ac:dyDescent="0.4">
      <c r="B267" s="4"/>
    </row>
    <row r="268" spans="2:2" x14ac:dyDescent="0.4">
      <c r="B268" s="4"/>
    </row>
    <row r="269" spans="2:2" x14ac:dyDescent="0.4">
      <c r="B269" s="4"/>
    </row>
    <row r="270" spans="2:2" x14ac:dyDescent="0.4">
      <c r="B270" s="4"/>
    </row>
    <row r="271" spans="2:2" x14ac:dyDescent="0.4">
      <c r="B271" s="4"/>
    </row>
    <row r="272" spans="2:2" x14ac:dyDescent="0.4">
      <c r="B272" s="4"/>
    </row>
    <row r="273" spans="2:2" x14ac:dyDescent="0.4">
      <c r="B273" s="4"/>
    </row>
    <row r="274" spans="2:2" x14ac:dyDescent="0.4">
      <c r="B274" s="4"/>
    </row>
    <row r="275" spans="2:2" x14ac:dyDescent="0.4">
      <c r="B275" s="4"/>
    </row>
    <row r="276" spans="2:2" x14ac:dyDescent="0.4">
      <c r="B276" s="4"/>
    </row>
    <row r="277" spans="2:2" x14ac:dyDescent="0.4">
      <c r="B277" s="4"/>
    </row>
    <row r="278" spans="2:2" x14ac:dyDescent="0.4">
      <c r="B278" s="4"/>
    </row>
    <row r="279" spans="2:2" x14ac:dyDescent="0.4">
      <c r="B279" s="4"/>
    </row>
    <row r="280" spans="2:2" x14ac:dyDescent="0.4">
      <c r="B280" s="4"/>
    </row>
    <row r="281" spans="2:2" x14ac:dyDescent="0.4">
      <c r="B281" s="4"/>
    </row>
    <row r="282" spans="2:2" x14ac:dyDescent="0.4">
      <c r="B282" s="4"/>
    </row>
    <row r="283" spans="2:2" x14ac:dyDescent="0.4">
      <c r="B283" s="4"/>
    </row>
    <row r="284" spans="2:2" x14ac:dyDescent="0.4">
      <c r="B284" s="4"/>
    </row>
    <row r="285" spans="2:2" x14ac:dyDescent="0.4">
      <c r="B285" s="4"/>
    </row>
    <row r="286" spans="2:2" x14ac:dyDescent="0.4">
      <c r="B286" s="4"/>
    </row>
    <row r="287" spans="2:2" x14ac:dyDescent="0.4">
      <c r="B287" s="4"/>
    </row>
    <row r="288" spans="2:2" x14ac:dyDescent="0.4">
      <c r="B288" s="4"/>
    </row>
    <row r="289" spans="2:2" x14ac:dyDescent="0.4">
      <c r="B289" s="4"/>
    </row>
    <row r="290" spans="2:2" x14ac:dyDescent="0.4">
      <c r="B290" s="4"/>
    </row>
    <row r="291" spans="2:2" x14ac:dyDescent="0.4">
      <c r="B291" s="4"/>
    </row>
    <row r="292" spans="2:2" x14ac:dyDescent="0.4">
      <c r="B292" s="4"/>
    </row>
    <row r="293" spans="2:2" x14ac:dyDescent="0.4">
      <c r="B293" s="4"/>
    </row>
    <row r="294" spans="2:2" x14ac:dyDescent="0.4">
      <c r="B294" s="4"/>
    </row>
    <row r="295" spans="2:2" x14ac:dyDescent="0.4">
      <c r="B295" s="4"/>
    </row>
    <row r="296" spans="2:2" x14ac:dyDescent="0.4">
      <c r="B296" s="4"/>
    </row>
    <row r="297" spans="2:2" x14ac:dyDescent="0.4">
      <c r="B297" s="4"/>
    </row>
    <row r="298" spans="2:2" x14ac:dyDescent="0.4">
      <c r="B298" s="4"/>
    </row>
    <row r="299" spans="2:2" x14ac:dyDescent="0.4">
      <c r="B299" s="4"/>
    </row>
    <row r="300" spans="2:2" x14ac:dyDescent="0.4">
      <c r="B300" s="4"/>
    </row>
    <row r="301" spans="2:2" x14ac:dyDescent="0.4">
      <c r="B301" s="4"/>
    </row>
    <row r="302" spans="2:2" x14ac:dyDescent="0.4">
      <c r="B302" s="4"/>
    </row>
    <row r="303" spans="2:2" x14ac:dyDescent="0.4">
      <c r="B303" s="4"/>
    </row>
    <row r="304" spans="2:2" x14ac:dyDescent="0.4">
      <c r="B304" s="4"/>
    </row>
    <row r="305" spans="2:2" x14ac:dyDescent="0.4">
      <c r="B305" s="4"/>
    </row>
    <row r="306" spans="2:2" x14ac:dyDescent="0.4">
      <c r="B306" s="4"/>
    </row>
    <row r="307" spans="2:2" x14ac:dyDescent="0.4">
      <c r="B307" s="4"/>
    </row>
    <row r="308" spans="2:2" x14ac:dyDescent="0.4">
      <c r="B308" s="4"/>
    </row>
    <row r="309" spans="2:2" x14ac:dyDescent="0.4">
      <c r="B309" s="4"/>
    </row>
    <row r="310" spans="2:2" x14ac:dyDescent="0.4">
      <c r="B310" s="4"/>
    </row>
    <row r="311" spans="2:2" x14ac:dyDescent="0.4">
      <c r="B311" s="4"/>
    </row>
    <row r="312" spans="2:2" x14ac:dyDescent="0.4">
      <c r="B312" s="4"/>
    </row>
    <row r="313" spans="2:2" x14ac:dyDescent="0.4">
      <c r="B313" s="4"/>
    </row>
    <row r="314" spans="2:2" x14ac:dyDescent="0.4">
      <c r="B314" s="4"/>
    </row>
    <row r="315" spans="2:2" x14ac:dyDescent="0.4">
      <c r="B315" s="4"/>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4F8F-250B-4665-BA20-DA155EB92425}">
  <dimension ref="A1:D315"/>
  <sheetViews>
    <sheetView zoomScale="70" zoomScaleNormal="70" workbookViewId="0">
      <selection activeCell="G8" sqref="G8"/>
    </sheetView>
  </sheetViews>
  <sheetFormatPr defaultRowHeight="19.5" x14ac:dyDescent="0.4"/>
  <cols>
    <col min="1" max="1" width="18.36328125" bestFit="1" customWidth="1"/>
    <col min="2" max="2" width="14.54296875" style="10" bestFit="1" customWidth="1"/>
    <col min="3" max="3" width="3.81640625" bestFit="1" customWidth="1"/>
    <col min="4" max="4" width="10.26953125" bestFit="1" customWidth="1"/>
    <col min="5" max="6" width="18.36328125" bestFit="1" customWidth="1"/>
    <col min="7" max="7" width="10.26953125" bestFit="1" customWidth="1"/>
  </cols>
  <sheetData>
    <row r="1" spans="1:4" x14ac:dyDescent="0.4">
      <c r="B1"/>
    </row>
    <row r="3" spans="1:4" x14ac:dyDescent="0.4">
      <c r="A3" s="6" t="s">
        <v>477</v>
      </c>
      <c r="B3" s="6" t="s">
        <v>473</v>
      </c>
    </row>
    <row r="4" spans="1:4" x14ac:dyDescent="0.4">
      <c r="A4" s="6" t="s">
        <v>470</v>
      </c>
      <c r="B4" t="s">
        <v>9</v>
      </c>
      <c r="C4" t="s">
        <v>31</v>
      </c>
      <c r="D4" t="s">
        <v>472</v>
      </c>
    </row>
    <row r="5" spans="1:4" x14ac:dyDescent="0.4">
      <c r="A5" s="7" t="s">
        <v>121</v>
      </c>
      <c r="B5" s="4">
        <v>6</v>
      </c>
      <c r="C5" s="4">
        <v>3</v>
      </c>
      <c r="D5" s="4">
        <v>9</v>
      </c>
    </row>
    <row r="6" spans="1:4" x14ac:dyDescent="0.4">
      <c r="A6" s="7" t="s">
        <v>268</v>
      </c>
      <c r="B6" s="4">
        <v>1</v>
      </c>
      <c r="C6" s="4"/>
      <c r="D6" s="4">
        <v>1</v>
      </c>
    </row>
    <row r="7" spans="1:4" x14ac:dyDescent="0.4">
      <c r="A7" s="7" t="s">
        <v>15</v>
      </c>
      <c r="B7" s="4">
        <v>22</v>
      </c>
      <c r="C7" s="4">
        <v>28</v>
      </c>
      <c r="D7" s="4">
        <v>50</v>
      </c>
    </row>
    <row r="8" spans="1:4" x14ac:dyDescent="0.4">
      <c r="A8" s="7" t="s">
        <v>4</v>
      </c>
      <c r="B8" s="4">
        <v>126</v>
      </c>
      <c r="C8" s="4">
        <v>83</v>
      </c>
      <c r="D8" s="4">
        <v>209</v>
      </c>
    </row>
    <row r="9" spans="1:4" x14ac:dyDescent="0.4">
      <c r="A9" s="7" t="s">
        <v>77</v>
      </c>
      <c r="B9" s="4">
        <v>15</v>
      </c>
      <c r="C9" s="4">
        <v>16</v>
      </c>
      <c r="D9" s="4">
        <v>31</v>
      </c>
    </row>
    <row r="10" spans="1:4" x14ac:dyDescent="0.4">
      <c r="A10" s="7" t="s">
        <v>91</v>
      </c>
      <c r="B10" s="4">
        <v>6</v>
      </c>
      <c r="C10" s="4">
        <v>5</v>
      </c>
      <c r="D10" s="4">
        <v>11</v>
      </c>
    </row>
    <row r="11" spans="1:4" x14ac:dyDescent="0.4">
      <c r="A11" s="7" t="s">
        <v>472</v>
      </c>
      <c r="B11" s="4">
        <v>176</v>
      </c>
      <c r="C11" s="4">
        <v>135</v>
      </c>
      <c r="D11" s="4">
        <v>311</v>
      </c>
    </row>
    <row r="12" spans="1:4" x14ac:dyDescent="0.4">
      <c r="B12"/>
    </row>
    <row r="13" spans="1:4" x14ac:dyDescent="0.4">
      <c r="B13"/>
    </row>
    <row r="14" spans="1:4" x14ac:dyDescent="0.4">
      <c r="B14"/>
    </row>
    <row r="15" spans="1:4" x14ac:dyDescent="0.4">
      <c r="B15"/>
    </row>
    <row r="16" spans="1:4"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s="4"/>
    </row>
    <row r="27" spans="2:2" x14ac:dyDescent="0.4">
      <c r="B27" s="4"/>
    </row>
    <row r="28" spans="2:2" x14ac:dyDescent="0.4">
      <c r="B28" s="4"/>
    </row>
    <row r="29" spans="2:2" x14ac:dyDescent="0.4">
      <c r="B29" s="4"/>
    </row>
    <row r="30" spans="2:2" x14ac:dyDescent="0.4">
      <c r="B30" s="4"/>
    </row>
    <row r="31" spans="2:2" x14ac:dyDescent="0.4">
      <c r="B31" s="4"/>
    </row>
    <row r="32" spans="2:2" x14ac:dyDescent="0.4">
      <c r="B32" s="4"/>
    </row>
    <row r="33" spans="2:2" x14ac:dyDescent="0.4">
      <c r="B33" s="4"/>
    </row>
    <row r="34" spans="2:2" x14ac:dyDescent="0.4">
      <c r="B34" s="4"/>
    </row>
    <row r="35" spans="2:2" x14ac:dyDescent="0.4">
      <c r="B35" s="4"/>
    </row>
    <row r="36" spans="2:2" x14ac:dyDescent="0.4">
      <c r="B36" s="4"/>
    </row>
    <row r="37" spans="2:2" x14ac:dyDescent="0.4">
      <c r="B37" s="4"/>
    </row>
    <row r="38" spans="2:2" x14ac:dyDescent="0.4">
      <c r="B38" s="4"/>
    </row>
    <row r="39" spans="2:2" x14ac:dyDescent="0.4">
      <c r="B39" s="4"/>
    </row>
    <row r="40" spans="2:2" x14ac:dyDescent="0.4">
      <c r="B40" s="4"/>
    </row>
    <row r="41" spans="2:2" x14ac:dyDescent="0.4">
      <c r="B41" s="4"/>
    </row>
    <row r="42" spans="2:2" x14ac:dyDescent="0.4">
      <c r="B42" s="4"/>
    </row>
    <row r="43" spans="2:2" x14ac:dyDescent="0.4">
      <c r="B43" s="4"/>
    </row>
    <row r="44" spans="2:2" x14ac:dyDescent="0.4">
      <c r="B44" s="4"/>
    </row>
    <row r="45" spans="2:2" x14ac:dyDescent="0.4">
      <c r="B45" s="4"/>
    </row>
    <row r="46" spans="2:2" x14ac:dyDescent="0.4">
      <c r="B46" s="4"/>
    </row>
    <row r="47" spans="2:2" x14ac:dyDescent="0.4">
      <c r="B47" s="4"/>
    </row>
    <row r="48" spans="2:2" x14ac:dyDescent="0.4">
      <c r="B48" s="4"/>
    </row>
    <row r="49" spans="2:2" x14ac:dyDescent="0.4">
      <c r="B49" s="4"/>
    </row>
    <row r="50" spans="2:2" x14ac:dyDescent="0.4">
      <c r="B50" s="4"/>
    </row>
    <row r="51" spans="2:2" x14ac:dyDescent="0.4">
      <c r="B51" s="4"/>
    </row>
    <row r="52" spans="2:2" x14ac:dyDescent="0.4">
      <c r="B52" s="4"/>
    </row>
    <row r="53" spans="2:2" x14ac:dyDescent="0.4">
      <c r="B53" s="4"/>
    </row>
    <row r="54" spans="2:2" x14ac:dyDescent="0.4">
      <c r="B54" s="4"/>
    </row>
    <row r="55" spans="2:2" x14ac:dyDescent="0.4">
      <c r="B55" s="4"/>
    </row>
    <row r="56" spans="2:2" x14ac:dyDescent="0.4">
      <c r="B56" s="4"/>
    </row>
    <row r="57" spans="2:2" x14ac:dyDescent="0.4">
      <c r="B57" s="4"/>
    </row>
    <row r="58" spans="2:2" x14ac:dyDescent="0.4">
      <c r="B58" s="4"/>
    </row>
    <row r="59" spans="2:2" x14ac:dyDescent="0.4">
      <c r="B59" s="4"/>
    </row>
    <row r="60" spans="2:2" x14ac:dyDescent="0.4">
      <c r="B60" s="4"/>
    </row>
    <row r="61" spans="2:2" x14ac:dyDescent="0.4">
      <c r="B61" s="4"/>
    </row>
    <row r="62" spans="2:2" x14ac:dyDescent="0.4">
      <c r="B62" s="4"/>
    </row>
    <row r="63" spans="2:2" x14ac:dyDescent="0.4">
      <c r="B63" s="4"/>
    </row>
    <row r="64" spans="2:2" x14ac:dyDescent="0.4">
      <c r="B64" s="4"/>
    </row>
    <row r="65" spans="2:2" x14ac:dyDescent="0.4">
      <c r="B65" s="4"/>
    </row>
    <row r="66" spans="2:2" x14ac:dyDescent="0.4">
      <c r="B66" s="4"/>
    </row>
    <row r="67" spans="2:2" x14ac:dyDescent="0.4">
      <c r="B67" s="4"/>
    </row>
    <row r="68" spans="2:2" x14ac:dyDescent="0.4">
      <c r="B68" s="4"/>
    </row>
    <row r="69" spans="2:2" x14ac:dyDescent="0.4">
      <c r="B69" s="4"/>
    </row>
    <row r="70" spans="2:2" x14ac:dyDescent="0.4">
      <c r="B70" s="4"/>
    </row>
    <row r="71" spans="2:2" x14ac:dyDescent="0.4">
      <c r="B71" s="4"/>
    </row>
    <row r="72" spans="2:2" x14ac:dyDescent="0.4">
      <c r="B72" s="4"/>
    </row>
    <row r="73" spans="2:2" x14ac:dyDescent="0.4">
      <c r="B73" s="4"/>
    </row>
    <row r="74" spans="2:2" x14ac:dyDescent="0.4">
      <c r="B74" s="4"/>
    </row>
    <row r="75" spans="2:2" x14ac:dyDescent="0.4">
      <c r="B75" s="4"/>
    </row>
    <row r="76" spans="2:2" x14ac:dyDescent="0.4">
      <c r="B76" s="4"/>
    </row>
    <row r="77" spans="2:2" x14ac:dyDescent="0.4">
      <c r="B77" s="4"/>
    </row>
    <row r="78" spans="2:2" x14ac:dyDescent="0.4">
      <c r="B78" s="4"/>
    </row>
    <row r="79" spans="2:2" x14ac:dyDescent="0.4">
      <c r="B79" s="4"/>
    </row>
    <row r="80" spans="2:2" x14ac:dyDescent="0.4">
      <c r="B80" s="4"/>
    </row>
    <row r="81" spans="2:2" x14ac:dyDescent="0.4">
      <c r="B81" s="4"/>
    </row>
    <row r="82" spans="2:2" x14ac:dyDescent="0.4">
      <c r="B82" s="4"/>
    </row>
    <row r="83" spans="2:2" x14ac:dyDescent="0.4">
      <c r="B83" s="4"/>
    </row>
    <row r="84" spans="2:2" x14ac:dyDescent="0.4">
      <c r="B84" s="4"/>
    </row>
    <row r="85" spans="2:2" x14ac:dyDescent="0.4">
      <c r="B85" s="4"/>
    </row>
    <row r="86" spans="2:2" x14ac:dyDescent="0.4">
      <c r="B86" s="4"/>
    </row>
    <row r="87" spans="2:2" x14ac:dyDescent="0.4">
      <c r="B87" s="4"/>
    </row>
    <row r="88" spans="2:2" x14ac:dyDescent="0.4">
      <c r="B88" s="4"/>
    </row>
    <row r="89" spans="2:2" x14ac:dyDescent="0.4">
      <c r="B89" s="4"/>
    </row>
    <row r="90" spans="2:2" x14ac:dyDescent="0.4">
      <c r="B90" s="4"/>
    </row>
    <row r="91" spans="2:2" x14ac:dyDescent="0.4">
      <c r="B91" s="4"/>
    </row>
    <row r="92" spans="2:2" x14ac:dyDescent="0.4">
      <c r="B92" s="4"/>
    </row>
    <row r="93" spans="2:2" x14ac:dyDescent="0.4">
      <c r="B93" s="4"/>
    </row>
    <row r="94" spans="2:2" x14ac:dyDescent="0.4">
      <c r="B94" s="4"/>
    </row>
    <row r="95" spans="2:2" x14ac:dyDescent="0.4">
      <c r="B95" s="4"/>
    </row>
    <row r="96" spans="2:2" x14ac:dyDescent="0.4">
      <c r="B96" s="4"/>
    </row>
    <row r="97" spans="2:2" x14ac:dyDescent="0.4">
      <c r="B97" s="4"/>
    </row>
    <row r="98" spans="2:2" x14ac:dyDescent="0.4">
      <c r="B98" s="4"/>
    </row>
    <row r="99" spans="2:2" x14ac:dyDescent="0.4">
      <c r="B99" s="4"/>
    </row>
    <row r="100" spans="2:2" x14ac:dyDescent="0.4">
      <c r="B100" s="4"/>
    </row>
    <row r="101" spans="2:2" x14ac:dyDescent="0.4">
      <c r="B101" s="4"/>
    </row>
    <row r="102" spans="2:2" x14ac:dyDescent="0.4">
      <c r="B102" s="4"/>
    </row>
    <row r="103" spans="2:2" x14ac:dyDescent="0.4">
      <c r="B103" s="4"/>
    </row>
    <row r="104" spans="2:2" x14ac:dyDescent="0.4">
      <c r="B104" s="4"/>
    </row>
    <row r="105" spans="2:2" x14ac:dyDescent="0.4">
      <c r="B105" s="4"/>
    </row>
    <row r="106" spans="2:2" x14ac:dyDescent="0.4">
      <c r="B106" s="4"/>
    </row>
    <row r="107" spans="2:2" x14ac:dyDescent="0.4">
      <c r="B107" s="4"/>
    </row>
    <row r="108" spans="2:2" x14ac:dyDescent="0.4">
      <c r="B108" s="4"/>
    </row>
    <row r="109" spans="2:2" x14ac:dyDescent="0.4">
      <c r="B109" s="4"/>
    </row>
    <row r="110" spans="2:2" x14ac:dyDescent="0.4">
      <c r="B110" s="4"/>
    </row>
    <row r="111" spans="2:2" x14ac:dyDescent="0.4">
      <c r="B111" s="4"/>
    </row>
    <row r="112" spans="2:2" x14ac:dyDescent="0.4">
      <c r="B112" s="4"/>
    </row>
    <row r="113" spans="2:2" x14ac:dyDescent="0.4">
      <c r="B113" s="4"/>
    </row>
    <row r="114" spans="2:2" x14ac:dyDescent="0.4">
      <c r="B114" s="4"/>
    </row>
    <row r="115" spans="2:2" x14ac:dyDescent="0.4">
      <c r="B115" s="4"/>
    </row>
    <row r="116" spans="2:2" x14ac:dyDescent="0.4">
      <c r="B116" s="4"/>
    </row>
    <row r="117" spans="2:2" x14ac:dyDescent="0.4">
      <c r="B117" s="4"/>
    </row>
    <row r="118" spans="2:2" x14ac:dyDescent="0.4">
      <c r="B118" s="4"/>
    </row>
    <row r="119" spans="2:2" x14ac:dyDescent="0.4">
      <c r="B119" s="4"/>
    </row>
    <row r="120" spans="2:2" x14ac:dyDescent="0.4">
      <c r="B120" s="4"/>
    </row>
    <row r="121" spans="2:2" x14ac:dyDescent="0.4">
      <c r="B121" s="4"/>
    </row>
    <row r="122" spans="2:2" x14ac:dyDescent="0.4">
      <c r="B122" s="4"/>
    </row>
    <row r="123" spans="2:2" x14ac:dyDescent="0.4">
      <c r="B123" s="4"/>
    </row>
    <row r="124" spans="2:2" x14ac:dyDescent="0.4">
      <c r="B124" s="4"/>
    </row>
    <row r="125" spans="2:2" x14ac:dyDescent="0.4">
      <c r="B125" s="4"/>
    </row>
    <row r="126" spans="2:2" x14ac:dyDescent="0.4">
      <c r="B126" s="4"/>
    </row>
    <row r="127" spans="2:2" x14ac:dyDescent="0.4">
      <c r="B127" s="4"/>
    </row>
    <row r="128" spans="2:2" x14ac:dyDescent="0.4">
      <c r="B128" s="4"/>
    </row>
    <row r="129" spans="2:2" x14ac:dyDescent="0.4">
      <c r="B129" s="4"/>
    </row>
    <row r="130" spans="2:2" x14ac:dyDescent="0.4">
      <c r="B130" s="4"/>
    </row>
    <row r="131" spans="2:2" x14ac:dyDescent="0.4">
      <c r="B131" s="4"/>
    </row>
    <row r="132" spans="2:2" x14ac:dyDescent="0.4">
      <c r="B132" s="4"/>
    </row>
    <row r="133" spans="2:2" x14ac:dyDescent="0.4">
      <c r="B133" s="4"/>
    </row>
    <row r="134" spans="2:2" x14ac:dyDescent="0.4">
      <c r="B134" s="4"/>
    </row>
    <row r="135" spans="2:2" x14ac:dyDescent="0.4">
      <c r="B135" s="4"/>
    </row>
    <row r="136" spans="2:2" x14ac:dyDescent="0.4">
      <c r="B136" s="4"/>
    </row>
    <row r="137" spans="2:2" x14ac:dyDescent="0.4">
      <c r="B137" s="4"/>
    </row>
    <row r="138" spans="2:2" x14ac:dyDescent="0.4">
      <c r="B138" s="4"/>
    </row>
    <row r="139" spans="2:2" x14ac:dyDescent="0.4">
      <c r="B139" s="4"/>
    </row>
    <row r="140" spans="2:2" x14ac:dyDescent="0.4">
      <c r="B140" s="4"/>
    </row>
    <row r="141" spans="2:2" x14ac:dyDescent="0.4">
      <c r="B141" s="4"/>
    </row>
    <row r="142" spans="2:2" x14ac:dyDescent="0.4">
      <c r="B142" s="4"/>
    </row>
    <row r="143" spans="2:2" x14ac:dyDescent="0.4">
      <c r="B143" s="4"/>
    </row>
    <row r="144" spans="2:2" x14ac:dyDescent="0.4">
      <c r="B144" s="4"/>
    </row>
    <row r="145" spans="2:2" x14ac:dyDescent="0.4">
      <c r="B145" s="4"/>
    </row>
    <row r="146" spans="2:2" x14ac:dyDescent="0.4">
      <c r="B146" s="4"/>
    </row>
    <row r="147" spans="2:2" x14ac:dyDescent="0.4">
      <c r="B147" s="4"/>
    </row>
    <row r="148" spans="2:2" x14ac:dyDescent="0.4">
      <c r="B148" s="4"/>
    </row>
    <row r="149" spans="2:2" x14ac:dyDescent="0.4">
      <c r="B149" s="4"/>
    </row>
    <row r="150" spans="2:2" x14ac:dyDescent="0.4">
      <c r="B150" s="4"/>
    </row>
    <row r="151" spans="2:2" x14ac:dyDescent="0.4">
      <c r="B151" s="4"/>
    </row>
    <row r="152" spans="2:2" x14ac:dyDescent="0.4">
      <c r="B152" s="4"/>
    </row>
    <row r="153" spans="2:2" x14ac:dyDescent="0.4">
      <c r="B153" s="4"/>
    </row>
    <row r="154" spans="2:2" x14ac:dyDescent="0.4">
      <c r="B154" s="4"/>
    </row>
    <row r="155" spans="2:2" x14ac:dyDescent="0.4">
      <c r="B155" s="4"/>
    </row>
    <row r="156" spans="2:2" x14ac:dyDescent="0.4">
      <c r="B156" s="4"/>
    </row>
    <row r="157" spans="2:2" x14ac:dyDescent="0.4">
      <c r="B157" s="4"/>
    </row>
    <row r="158" spans="2:2" x14ac:dyDescent="0.4">
      <c r="B158" s="4"/>
    </row>
    <row r="159" spans="2:2" x14ac:dyDescent="0.4">
      <c r="B159" s="4"/>
    </row>
    <row r="160" spans="2:2" x14ac:dyDescent="0.4">
      <c r="B160" s="4"/>
    </row>
    <row r="161" spans="2:2" x14ac:dyDescent="0.4">
      <c r="B161" s="4"/>
    </row>
    <row r="162" spans="2:2" x14ac:dyDescent="0.4">
      <c r="B162" s="4"/>
    </row>
    <row r="163" spans="2:2" x14ac:dyDescent="0.4">
      <c r="B163" s="4"/>
    </row>
    <row r="164" spans="2:2" x14ac:dyDescent="0.4">
      <c r="B164" s="4"/>
    </row>
    <row r="165" spans="2:2" x14ac:dyDescent="0.4">
      <c r="B165" s="4"/>
    </row>
    <row r="166" spans="2:2" x14ac:dyDescent="0.4">
      <c r="B166" s="4"/>
    </row>
    <row r="167" spans="2:2" x14ac:dyDescent="0.4">
      <c r="B167" s="4"/>
    </row>
    <row r="168" spans="2:2" x14ac:dyDescent="0.4">
      <c r="B168" s="4"/>
    </row>
    <row r="169" spans="2:2" x14ac:dyDescent="0.4">
      <c r="B169" s="4"/>
    </row>
    <row r="170" spans="2:2" x14ac:dyDescent="0.4">
      <c r="B170" s="4"/>
    </row>
    <row r="171" spans="2:2" x14ac:dyDescent="0.4">
      <c r="B171" s="4"/>
    </row>
    <row r="172" spans="2:2" x14ac:dyDescent="0.4">
      <c r="B172" s="4"/>
    </row>
    <row r="173" spans="2:2" x14ac:dyDescent="0.4">
      <c r="B173" s="4"/>
    </row>
    <row r="174" spans="2:2" x14ac:dyDescent="0.4">
      <c r="B174" s="4"/>
    </row>
    <row r="175" spans="2:2" x14ac:dyDescent="0.4">
      <c r="B175" s="4"/>
    </row>
    <row r="176" spans="2:2" x14ac:dyDescent="0.4">
      <c r="B176" s="4"/>
    </row>
    <row r="177" spans="2:2" x14ac:dyDescent="0.4">
      <c r="B177" s="4"/>
    </row>
    <row r="178" spans="2:2" x14ac:dyDescent="0.4">
      <c r="B178" s="4"/>
    </row>
    <row r="179" spans="2:2" x14ac:dyDescent="0.4">
      <c r="B179" s="4"/>
    </row>
    <row r="180" spans="2:2" x14ac:dyDescent="0.4">
      <c r="B180" s="4"/>
    </row>
    <row r="181" spans="2:2" x14ac:dyDescent="0.4">
      <c r="B181" s="4"/>
    </row>
    <row r="182" spans="2:2" x14ac:dyDescent="0.4">
      <c r="B182" s="4"/>
    </row>
    <row r="183" spans="2:2" x14ac:dyDescent="0.4">
      <c r="B183" s="4"/>
    </row>
    <row r="184" spans="2:2" x14ac:dyDescent="0.4">
      <c r="B184" s="4"/>
    </row>
    <row r="185" spans="2:2" x14ac:dyDescent="0.4">
      <c r="B185" s="4"/>
    </row>
    <row r="186" spans="2:2" x14ac:dyDescent="0.4">
      <c r="B186" s="4"/>
    </row>
    <row r="187" spans="2:2" x14ac:dyDescent="0.4">
      <c r="B187" s="4"/>
    </row>
    <row r="188" spans="2:2" x14ac:dyDescent="0.4">
      <c r="B188" s="4"/>
    </row>
    <row r="189" spans="2:2" x14ac:dyDescent="0.4">
      <c r="B189" s="4"/>
    </row>
    <row r="190" spans="2:2" x14ac:dyDescent="0.4">
      <c r="B190" s="4"/>
    </row>
    <row r="191" spans="2:2" x14ac:dyDescent="0.4">
      <c r="B191" s="4"/>
    </row>
    <row r="192" spans="2:2" x14ac:dyDescent="0.4">
      <c r="B192" s="4"/>
    </row>
    <row r="193" spans="2:2" x14ac:dyDescent="0.4">
      <c r="B193" s="4"/>
    </row>
    <row r="194" spans="2:2" x14ac:dyDescent="0.4">
      <c r="B194" s="4"/>
    </row>
    <row r="195" spans="2:2" x14ac:dyDescent="0.4">
      <c r="B195" s="4"/>
    </row>
    <row r="196" spans="2:2" x14ac:dyDescent="0.4">
      <c r="B196" s="4"/>
    </row>
    <row r="197" spans="2:2" x14ac:dyDescent="0.4">
      <c r="B197" s="4"/>
    </row>
    <row r="198" spans="2:2" x14ac:dyDescent="0.4">
      <c r="B198" s="4"/>
    </row>
    <row r="199" spans="2:2" x14ac:dyDescent="0.4">
      <c r="B199" s="4"/>
    </row>
    <row r="200" spans="2:2" x14ac:dyDescent="0.4">
      <c r="B200" s="4"/>
    </row>
    <row r="201" spans="2:2" x14ac:dyDescent="0.4">
      <c r="B201" s="4"/>
    </row>
    <row r="202" spans="2:2" x14ac:dyDescent="0.4">
      <c r="B202" s="4"/>
    </row>
    <row r="203" spans="2:2" x14ac:dyDescent="0.4">
      <c r="B203" s="4"/>
    </row>
    <row r="204" spans="2:2" x14ac:dyDescent="0.4">
      <c r="B204" s="4"/>
    </row>
    <row r="205" spans="2:2" x14ac:dyDescent="0.4">
      <c r="B205" s="4"/>
    </row>
    <row r="206" spans="2:2" x14ac:dyDescent="0.4">
      <c r="B206" s="4"/>
    </row>
    <row r="207" spans="2:2" x14ac:dyDescent="0.4">
      <c r="B207" s="4"/>
    </row>
    <row r="208" spans="2:2" x14ac:dyDescent="0.4">
      <c r="B208" s="4"/>
    </row>
    <row r="209" spans="2:2" x14ac:dyDescent="0.4">
      <c r="B209" s="4"/>
    </row>
    <row r="210" spans="2:2" x14ac:dyDescent="0.4">
      <c r="B210" s="4"/>
    </row>
    <row r="211" spans="2:2" x14ac:dyDescent="0.4">
      <c r="B211" s="4"/>
    </row>
    <row r="212" spans="2:2" x14ac:dyDescent="0.4">
      <c r="B212" s="4"/>
    </row>
    <row r="213" spans="2:2" x14ac:dyDescent="0.4">
      <c r="B213" s="4"/>
    </row>
    <row r="214" spans="2:2" x14ac:dyDescent="0.4">
      <c r="B214" s="4"/>
    </row>
    <row r="215" spans="2:2" x14ac:dyDescent="0.4">
      <c r="B215" s="4"/>
    </row>
    <row r="216" spans="2:2" x14ac:dyDescent="0.4">
      <c r="B216" s="4"/>
    </row>
    <row r="217" spans="2:2" x14ac:dyDescent="0.4">
      <c r="B217" s="4"/>
    </row>
    <row r="218" spans="2:2" x14ac:dyDescent="0.4">
      <c r="B218" s="4"/>
    </row>
    <row r="219" spans="2:2" x14ac:dyDescent="0.4">
      <c r="B219" s="4"/>
    </row>
    <row r="220" spans="2:2" x14ac:dyDescent="0.4">
      <c r="B220" s="4"/>
    </row>
    <row r="221" spans="2:2" x14ac:dyDescent="0.4">
      <c r="B221" s="4"/>
    </row>
    <row r="222" spans="2:2" x14ac:dyDescent="0.4">
      <c r="B222" s="4"/>
    </row>
    <row r="223" spans="2:2" x14ac:dyDescent="0.4">
      <c r="B223" s="4"/>
    </row>
    <row r="224" spans="2:2" x14ac:dyDescent="0.4">
      <c r="B224" s="4"/>
    </row>
    <row r="225" spans="2:2" x14ac:dyDescent="0.4">
      <c r="B225" s="4"/>
    </row>
    <row r="226" spans="2:2" x14ac:dyDescent="0.4">
      <c r="B226" s="4"/>
    </row>
    <row r="227" spans="2:2" x14ac:dyDescent="0.4">
      <c r="B227" s="4"/>
    </row>
    <row r="228" spans="2:2" x14ac:dyDescent="0.4">
      <c r="B228" s="4"/>
    </row>
    <row r="229" spans="2:2" x14ac:dyDescent="0.4">
      <c r="B229" s="4"/>
    </row>
    <row r="230" spans="2:2" x14ac:dyDescent="0.4">
      <c r="B230" s="4"/>
    </row>
    <row r="231" spans="2:2" x14ac:dyDescent="0.4">
      <c r="B231" s="4"/>
    </row>
    <row r="232" spans="2:2" x14ac:dyDescent="0.4">
      <c r="B232" s="4"/>
    </row>
    <row r="233" spans="2:2" x14ac:dyDescent="0.4">
      <c r="B233" s="4"/>
    </row>
    <row r="234" spans="2:2" x14ac:dyDescent="0.4">
      <c r="B234" s="4"/>
    </row>
    <row r="235" spans="2:2" x14ac:dyDescent="0.4">
      <c r="B235" s="4"/>
    </row>
    <row r="236" spans="2:2" x14ac:dyDescent="0.4">
      <c r="B236" s="4"/>
    </row>
    <row r="237" spans="2:2" x14ac:dyDescent="0.4">
      <c r="B237" s="4"/>
    </row>
    <row r="238" spans="2:2" x14ac:dyDescent="0.4">
      <c r="B238" s="4"/>
    </row>
    <row r="239" spans="2:2" x14ac:dyDescent="0.4">
      <c r="B239" s="4"/>
    </row>
    <row r="240" spans="2:2" x14ac:dyDescent="0.4">
      <c r="B240" s="4"/>
    </row>
    <row r="241" spans="2:2" x14ac:dyDescent="0.4">
      <c r="B241" s="4"/>
    </row>
    <row r="242" spans="2:2" x14ac:dyDescent="0.4">
      <c r="B242" s="4"/>
    </row>
    <row r="243" spans="2:2" x14ac:dyDescent="0.4">
      <c r="B243" s="4"/>
    </row>
    <row r="244" spans="2:2" x14ac:dyDescent="0.4">
      <c r="B244" s="4"/>
    </row>
    <row r="245" spans="2:2" x14ac:dyDescent="0.4">
      <c r="B245" s="4"/>
    </row>
    <row r="246" spans="2:2" x14ac:dyDescent="0.4">
      <c r="B246" s="4"/>
    </row>
    <row r="247" spans="2:2" x14ac:dyDescent="0.4">
      <c r="B247" s="4"/>
    </row>
    <row r="248" spans="2:2" x14ac:dyDescent="0.4">
      <c r="B248" s="4"/>
    </row>
    <row r="249" spans="2:2" x14ac:dyDescent="0.4">
      <c r="B249" s="4"/>
    </row>
    <row r="250" spans="2:2" x14ac:dyDescent="0.4">
      <c r="B250" s="4"/>
    </row>
    <row r="251" spans="2:2" x14ac:dyDescent="0.4">
      <c r="B251" s="4"/>
    </row>
    <row r="252" spans="2:2" x14ac:dyDescent="0.4">
      <c r="B252" s="4"/>
    </row>
    <row r="253" spans="2:2" x14ac:dyDescent="0.4">
      <c r="B253" s="4"/>
    </row>
    <row r="254" spans="2:2" x14ac:dyDescent="0.4">
      <c r="B254" s="4"/>
    </row>
    <row r="255" spans="2:2" x14ac:dyDescent="0.4">
      <c r="B255" s="4"/>
    </row>
    <row r="256" spans="2:2" x14ac:dyDescent="0.4">
      <c r="B256" s="4"/>
    </row>
    <row r="257" spans="2:2" x14ac:dyDescent="0.4">
      <c r="B257" s="4"/>
    </row>
    <row r="258" spans="2:2" x14ac:dyDescent="0.4">
      <c r="B258" s="4"/>
    </row>
    <row r="259" spans="2:2" x14ac:dyDescent="0.4">
      <c r="B259" s="4"/>
    </row>
    <row r="260" spans="2:2" x14ac:dyDescent="0.4">
      <c r="B260" s="4"/>
    </row>
    <row r="261" spans="2:2" x14ac:dyDescent="0.4">
      <c r="B261" s="4"/>
    </row>
    <row r="262" spans="2:2" x14ac:dyDescent="0.4">
      <c r="B262" s="4"/>
    </row>
    <row r="263" spans="2:2" x14ac:dyDescent="0.4">
      <c r="B263" s="4"/>
    </row>
    <row r="264" spans="2:2" x14ac:dyDescent="0.4">
      <c r="B264" s="4"/>
    </row>
    <row r="265" spans="2:2" x14ac:dyDescent="0.4">
      <c r="B265" s="4"/>
    </row>
    <row r="266" spans="2:2" x14ac:dyDescent="0.4">
      <c r="B266" s="4"/>
    </row>
    <row r="267" spans="2:2" x14ac:dyDescent="0.4">
      <c r="B267" s="4"/>
    </row>
    <row r="268" spans="2:2" x14ac:dyDescent="0.4">
      <c r="B268" s="4"/>
    </row>
    <row r="269" spans="2:2" x14ac:dyDescent="0.4">
      <c r="B269" s="4"/>
    </row>
    <row r="270" spans="2:2" x14ac:dyDescent="0.4">
      <c r="B270" s="4"/>
    </row>
    <row r="271" spans="2:2" x14ac:dyDescent="0.4">
      <c r="B271" s="4"/>
    </row>
    <row r="272" spans="2:2" x14ac:dyDescent="0.4">
      <c r="B272" s="4"/>
    </row>
    <row r="273" spans="2:2" x14ac:dyDescent="0.4">
      <c r="B273" s="4"/>
    </row>
    <row r="274" spans="2:2" x14ac:dyDescent="0.4">
      <c r="B274" s="4"/>
    </row>
    <row r="275" spans="2:2" x14ac:dyDescent="0.4">
      <c r="B275" s="4"/>
    </row>
    <row r="276" spans="2:2" x14ac:dyDescent="0.4">
      <c r="B276" s="4"/>
    </row>
    <row r="277" spans="2:2" x14ac:dyDescent="0.4">
      <c r="B277" s="4"/>
    </row>
    <row r="278" spans="2:2" x14ac:dyDescent="0.4">
      <c r="B278" s="4"/>
    </row>
    <row r="279" spans="2:2" x14ac:dyDescent="0.4">
      <c r="B279" s="4"/>
    </row>
    <row r="280" spans="2:2" x14ac:dyDescent="0.4">
      <c r="B280" s="4"/>
    </row>
    <row r="281" spans="2:2" x14ac:dyDescent="0.4">
      <c r="B281" s="4"/>
    </row>
    <row r="282" spans="2:2" x14ac:dyDescent="0.4">
      <c r="B282" s="4"/>
    </row>
    <row r="283" spans="2:2" x14ac:dyDescent="0.4">
      <c r="B283" s="4"/>
    </row>
    <row r="284" spans="2:2" x14ac:dyDescent="0.4">
      <c r="B284" s="4"/>
    </row>
    <row r="285" spans="2:2" x14ac:dyDescent="0.4">
      <c r="B285" s="4"/>
    </row>
    <row r="286" spans="2:2" x14ac:dyDescent="0.4">
      <c r="B286" s="4"/>
    </row>
    <row r="287" spans="2:2" x14ac:dyDescent="0.4">
      <c r="B287" s="4"/>
    </row>
    <row r="288" spans="2:2" x14ac:dyDescent="0.4">
      <c r="B288" s="4"/>
    </row>
    <row r="289" spans="2:2" x14ac:dyDescent="0.4">
      <c r="B289" s="4"/>
    </row>
    <row r="290" spans="2:2" x14ac:dyDescent="0.4">
      <c r="B290" s="4"/>
    </row>
    <row r="291" spans="2:2" x14ac:dyDescent="0.4">
      <c r="B291" s="4"/>
    </row>
    <row r="292" spans="2:2" x14ac:dyDescent="0.4">
      <c r="B292" s="4"/>
    </row>
    <row r="293" spans="2:2" x14ac:dyDescent="0.4">
      <c r="B293" s="4"/>
    </row>
    <row r="294" spans="2:2" x14ac:dyDescent="0.4">
      <c r="B294" s="4"/>
    </row>
    <row r="295" spans="2:2" x14ac:dyDescent="0.4">
      <c r="B295" s="4"/>
    </row>
    <row r="296" spans="2:2" x14ac:dyDescent="0.4">
      <c r="B296" s="4"/>
    </row>
    <row r="297" spans="2:2" x14ac:dyDescent="0.4">
      <c r="B297" s="4"/>
    </row>
    <row r="298" spans="2:2" x14ac:dyDescent="0.4">
      <c r="B298" s="4"/>
    </row>
    <row r="299" spans="2:2" x14ac:dyDescent="0.4">
      <c r="B299" s="4"/>
    </row>
    <row r="300" spans="2:2" x14ac:dyDescent="0.4">
      <c r="B300" s="4"/>
    </row>
    <row r="301" spans="2:2" x14ac:dyDescent="0.4">
      <c r="B301" s="4"/>
    </row>
    <row r="302" spans="2:2" x14ac:dyDescent="0.4">
      <c r="B302" s="4"/>
    </row>
    <row r="303" spans="2:2" x14ac:dyDescent="0.4">
      <c r="B303" s="4"/>
    </row>
    <row r="304" spans="2:2" x14ac:dyDescent="0.4">
      <c r="B304" s="4"/>
    </row>
    <row r="305" spans="2:2" x14ac:dyDescent="0.4">
      <c r="B305" s="4"/>
    </row>
    <row r="306" spans="2:2" x14ac:dyDescent="0.4">
      <c r="B306" s="4"/>
    </row>
    <row r="307" spans="2:2" x14ac:dyDescent="0.4">
      <c r="B307" s="4"/>
    </row>
    <row r="308" spans="2:2" x14ac:dyDescent="0.4">
      <c r="B308" s="4"/>
    </row>
    <row r="309" spans="2:2" x14ac:dyDescent="0.4">
      <c r="B309" s="4"/>
    </row>
    <row r="310" spans="2:2" x14ac:dyDescent="0.4">
      <c r="B310" s="4"/>
    </row>
    <row r="311" spans="2:2" x14ac:dyDescent="0.4">
      <c r="B311" s="4"/>
    </row>
    <row r="312" spans="2:2" x14ac:dyDescent="0.4">
      <c r="B312" s="4"/>
    </row>
    <row r="313" spans="2:2" x14ac:dyDescent="0.4">
      <c r="B313" s="4"/>
    </row>
    <row r="314" spans="2:2" x14ac:dyDescent="0.4">
      <c r="B314" s="4"/>
    </row>
    <row r="315" spans="2:2" x14ac:dyDescent="0.4">
      <c r="B315" s="4"/>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0202-0AA9-4D3F-9A0F-042D8222422B}">
  <dimension ref="A1:B315"/>
  <sheetViews>
    <sheetView zoomScale="70" zoomScaleNormal="70" workbookViewId="0">
      <selection activeCell="B22" sqref="B22"/>
    </sheetView>
  </sheetViews>
  <sheetFormatPr defaultRowHeight="19.5" x14ac:dyDescent="0.4"/>
  <cols>
    <col min="1" max="1" width="14.6328125" bestFit="1" customWidth="1"/>
    <col min="2" max="2" width="23.81640625" style="10" bestFit="1" customWidth="1"/>
    <col min="3" max="6" width="18.36328125" bestFit="1" customWidth="1"/>
    <col min="7" max="7" width="10.26953125" bestFit="1" customWidth="1"/>
  </cols>
  <sheetData>
    <row r="1" spans="1:2" x14ac:dyDescent="0.4">
      <c r="B1" s="4"/>
    </row>
    <row r="3" spans="1:2" x14ac:dyDescent="0.4">
      <c r="A3" s="6" t="s">
        <v>470</v>
      </c>
      <c r="B3" s="4" t="s">
        <v>476</v>
      </c>
    </row>
    <row r="4" spans="1:2" x14ac:dyDescent="0.4">
      <c r="A4" s="7" t="s">
        <v>90</v>
      </c>
      <c r="B4" s="4">
        <v>9</v>
      </c>
    </row>
    <row r="5" spans="1:2" x14ac:dyDescent="0.4">
      <c r="A5" s="7" t="s">
        <v>97</v>
      </c>
      <c r="B5" s="4">
        <v>13</v>
      </c>
    </row>
    <row r="6" spans="1:2" x14ac:dyDescent="0.4">
      <c r="A6" s="7" t="s">
        <v>52</v>
      </c>
      <c r="B6" s="4">
        <v>14</v>
      </c>
    </row>
    <row r="7" spans="1:2" x14ac:dyDescent="0.4">
      <c r="A7" s="7" t="s">
        <v>76</v>
      </c>
      <c r="B7" s="4">
        <v>14</v>
      </c>
    </row>
    <row r="8" spans="1:2" x14ac:dyDescent="0.4">
      <c r="A8" s="7" t="s">
        <v>14</v>
      </c>
      <c r="B8" s="4">
        <v>17</v>
      </c>
    </row>
    <row r="9" spans="1:2" x14ac:dyDescent="0.4">
      <c r="A9" s="7" t="s">
        <v>21</v>
      </c>
      <c r="B9" s="4">
        <v>19</v>
      </c>
    </row>
    <row r="10" spans="1:2" x14ac:dyDescent="0.4">
      <c r="A10" s="7" t="s">
        <v>38</v>
      </c>
      <c r="B10" s="4">
        <v>21</v>
      </c>
    </row>
    <row r="11" spans="1:2" x14ac:dyDescent="0.4">
      <c r="A11" s="7" t="s">
        <v>3</v>
      </c>
      <c r="B11" s="4">
        <v>21</v>
      </c>
    </row>
    <row r="12" spans="1:2" x14ac:dyDescent="0.4">
      <c r="A12" s="7" t="s">
        <v>49</v>
      </c>
      <c r="B12" s="4">
        <v>21</v>
      </c>
    </row>
    <row r="13" spans="1:2" x14ac:dyDescent="0.4">
      <c r="A13" s="7" t="s">
        <v>45</v>
      </c>
      <c r="B13" s="4">
        <v>21</v>
      </c>
    </row>
    <row r="14" spans="1:2" x14ac:dyDescent="0.4">
      <c r="A14" s="7" t="s">
        <v>69</v>
      </c>
      <c r="B14" s="4">
        <v>22</v>
      </c>
    </row>
    <row r="15" spans="1:2" x14ac:dyDescent="0.4">
      <c r="A15" s="7" t="s">
        <v>26</v>
      </c>
      <c r="B15" s="4">
        <v>22</v>
      </c>
    </row>
    <row r="16" spans="1:2" x14ac:dyDescent="0.4">
      <c r="A16" s="7" t="s">
        <v>30</v>
      </c>
      <c r="B16" s="4">
        <v>22</v>
      </c>
    </row>
    <row r="17" spans="1:2" x14ac:dyDescent="0.4">
      <c r="A17" s="7" t="s">
        <v>67</v>
      </c>
      <c r="B17" s="4">
        <v>22</v>
      </c>
    </row>
    <row r="18" spans="1:2" x14ac:dyDescent="0.4">
      <c r="A18" s="7" t="s">
        <v>61</v>
      </c>
      <c r="B18" s="4">
        <v>22</v>
      </c>
    </row>
    <row r="19" spans="1:2" x14ac:dyDescent="0.4">
      <c r="A19" s="7" t="s">
        <v>472</v>
      </c>
      <c r="B19" s="4">
        <v>280</v>
      </c>
    </row>
    <row r="20" spans="1:2" x14ac:dyDescent="0.4">
      <c r="B20"/>
    </row>
    <row r="21" spans="1:2" x14ac:dyDescent="0.4">
      <c r="B21"/>
    </row>
    <row r="22" spans="1:2" x14ac:dyDescent="0.4">
      <c r="B22"/>
    </row>
    <row r="23" spans="1:2" x14ac:dyDescent="0.4">
      <c r="B23"/>
    </row>
    <row r="24" spans="1:2" x14ac:dyDescent="0.4">
      <c r="B24"/>
    </row>
    <row r="25" spans="1:2" x14ac:dyDescent="0.4">
      <c r="B25"/>
    </row>
    <row r="26" spans="1:2" x14ac:dyDescent="0.4">
      <c r="B26" s="4"/>
    </row>
    <row r="27" spans="1:2" x14ac:dyDescent="0.4">
      <c r="B27" s="4"/>
    </row>
    <row r="28" spans="1:2" x14ac:dyDescent="0.4">
      <c r="B28" s="4"/>
    </row>
    <row r="29" spans="1:2" x14ac:dyDescent="0.4">
      <c r="B29" s="4"/>
    </row>
    <row r="30" spans="1:2" x14ac:dyDescent="0.4">
      <c r="B30" s="4"/>
    </row>
    <row r="31" spans="1:2" x14ac:dyDescent="0.4">
      <c r="B31" s="4"/>
    </row>
    <row r="32" spans="1:2" x14ac:dyDescent="0.4">
      <c r="B32" s="4"/>
    </row>
    <row r="33" spans="2:2" x14ac:dyDescent="0.4">
      <c r="B33" s="4"/>
    </row>
    <row r="34" spans="2:2" x14ac:dyDescent="0.4">
      <c r="B34" s="4"/>
    </row>
    <row r="35" spans="2:2" x14ac:dyDescent="0.4">
      <c r="B35" s="4"/>
    </row>
    <row r="36" spans="2:2" x14ac:dyDescent="0.4">
      <c r="B36" s="4"/>
    </row>
    <row r="37" spans="2:2" x14ac:dyDescent="0.4">
      <c r="B37" s="4"/>
    </row>
    <row r="38" spans="2:2" x14ac:dyDescent="0.4">
      <c r="B38" s="4"/>
    </row>
    <row r="39" spans="2:2" x14ac:dyDescent="0.4">
      <c r="B39" s="4"/>
    </row>
    <row r="40" spans="2:2" x14ac:dyDescent="0.4">
      <c r="B40" s="4"/>
    </row>
    <row r="41" spans="2:2" x14ac:dyDescent="0.4">
      <c r="B41" s="4"/>
    </row>
    <row r="42" spans="2:2" x14ac:dyDescent="0.4">
      <c r="B42" s="4"/>
    </row>
    <row r="43" spans="2:2" x14ac:dyDescent="0.4">
      <c r="B43" s="4"/>
    </row>
    <row r="44" spans="2:2" x14ac:dyDescent="0.4">
      <c r="B44" s="4"/>
    </row>
    <row r="45" spans="2:2" x14ac:dyDescent="0.4">
      <c r="B45" s="4"/>
    </row>
    <row r="46" spans="2:2" x14ac:dyDescent="0.4">
      <c r="B46" s="4"/>
    </row>
    <row r="47" spans="2:2" x14ac:dyDescent="0.4">
      <c r="B47" s="4"/>
    </row>
    <row r="48" spans="2:2" x14ac:dyDescent="0.4">
      <c r="B48" s="4"/>
    </row>
    <row r="49" spans="2:2" x14ac:dyDescent="0.4">
      <c r="B49" s="4"/>
    </row>
    <row r="50" spans="2:2" x14ac:dyDescent="0.4">
      <c r="B50" s="4"/>
    </row>
    <row r="51" spans="2:2" x14ac:dyDescent="0.4">
      <c r="B51" s="4"/>
    </row>
    <row r="52" spans="2:2" x14ac:dyDescent="0.4">
      <c r="B52" s="4"/>
    </row>
    <row r="53" spans="2:2" x14ac:dyDescent="0.4">
      <c r="B53" s="4"/>
    </row>
    <row r="54" spans="2:2" x14ac:dyDescent="0.4">
      <c r="B54" s="4"/>
    </row>
    <row r="55" spans="2:2" x14ac:dyDescent="0.4">
      <c r="B55" s="4"/>
    </row>
    <row r="56" spans="2:2" x14ac:dyDescent="0.4">
      <c r="B56" s="4"/>
    </row>
    <row r="57" spans="2:2" x14ac:dyDescent="0.4">
      <c r="B57" s="4"/>
    </row>
    <row r="58" spans="2:2" x14ac:dyDescent="0.4">
      <c r="B58" s="4"/>
    </row>
    <row r="59" spans="2:2" x14ac:dyDescent="0.4">
      <c r="B59" s="4"/>
    </row>
    <row r="60" spans="2:2" x14ac:dyDescent="0.4">
      <c r="B60" s="4"/>
    </row>
    <row r="61" spans="2:2" x14ac:dyDescent="0.4">
      <c r="B61" s="4"/>
    </row>
    <row r="62" spans="2:2" x14ac:dyDescent="0.4">
      <c r="B62" s="4"/>
    </row>
    <row r="63" spans="2:2" x14ac:dyDescent="0.4">
      <c r="B63" s="4"/>
    </row>
    <row r="64" spans="2:2" x14ac:dyDescent="0.4">
      <c r="B64" s="4"/>
    </row>
    <row r="65" spans="2:2" x14ac:dyDescent="0.4">
      <c r="B65" s="4"/>
    </row>
    <row r="66" spans="2:2" x14ac:dyDescent="0.4">
      <c r="B66" s="4"/>
    </row>
    <row r="67" spans="2:2" x14ac:dyDescent="0.4">
      <c r="B67" s="4"/>
    </row>
    <row r="68" spans="2:2" x14ac:dyDescent="0.4">
      <c r="B68" s="4"/>
    </row>
    <row r="69" spans="2:2" x14ac:dyDescent="0.4">
      <c r="B69" s="4"/>
    </row>
    <row r="70" spans="2:2" x14ac:dyDescent="0.4">
      <c r="B70" s="4"/>
    </row>
    <row r="71" spans="2:2" x14ac:dyDescent="0.4">
      <c r="B71" s="4"/>
    </row>
    <row r="72" spans="2:2" x14ac:dyDescent="0.4">
      <c r="B72" s="4"/>
    </row>
    <row r="73" spans="2:2" x14ac:dyDescent="0.4">
      <c r="B73" s="4"/>
    </row>
    <row r="74" spans="2:2" x14ac:dyDescent="0.4">
      <c r="B74" s="4"/>
    </row>
    <row r="75" spans="2:2" x14ac:dyDescent="0.4">
      <c r="B75" s="4"/>
    </row>
    <row r="76" spans="2:2" x14ac:dyDescent="0.4">
      <c r="B76" s="4"/>
    </row>
    <row r="77" spans="2:2" x14ac:dyDescent="0.4">
      <c r="B77" s="4"/>
    </row>
    <row r="78" spans="2:2" x14ac:dyDescent="0.4">
      <c r="B78" s="4"/>
    </row>
    <row r="79" spans="2:2" x14ac:dyDescent="0.4">
      <c r="B79" s="4"/>
    </row>
    <row r="80" spans="2:2" x14ac:dyDescent="0.4">
      <c r="B80" s="4"/>
    </row>
    <row r="81" spans="2:2" x14ac:dyDescent="0.4">
      <c r="B81" s="4"/>
    </row>
    <row r="82" spans="2:2" x14ac:dyDescent="0.4">
      <c r="B82" s="4"/>
    </row>
    <row r="83" spans="2:2" x14ac:dyDescent="0.4">
      <c r="B83" s="4"/>
    </row>
    <row r="84" spans="2:2" x14ac:dyDescent="0.4">
      <c r="B84" s="4"/>
    </row>
    <row r="85" spans="2:2" x14ac:dyDescent="0.4">
      <c r="B85" s="4"/>
    </row>
    <row r="86" spans="2:2" x14ac:dyDescent="0.4">
      <c r="B86" s="4"/>
    </row>
    <row r="87" spans="2:2" x14ac:dyDescent="0.4">
      <c r="B87" s="4"/>
    </row>
    <row r="88" spans="2:2" x14ac:dyDescent="0.4">
      <c r="B88" s="4"/>
    </row>
    <row r="89" spans="2:2" x14ac:dyDescent="0.4">
      <c r="B89" s="4"/>
    </row>
    <row r="90" spans="2:2" x14ac:dyDescent="0.4">
      <c r="B90" s="4"/>
    </row>
    <row r="91" spans="2:2" x14ac:dyDescent="0.4">
      <c r="B91" s="4"/>
    </row>
    <row r="92" spans="2:2" x14ac:dyDescent="0.4">
      <c r="B92" s="4"/>
    </row>
    <row r="93" spans="2:2" x14ac:dyDescent="0.4">
      <c r="B93" s="4"/>
    </row>
    <row r="94" spans="2:2" x14ac:dyDescent="0.4">
      <c r="B94" s="4"/>
    </row>
    <row r="95" spans="2:2" x14ac:dyDescent="0.4">
      <c r="B95" s="4"/>
    </row>
    <row r="96" spans="2:2" x14ac:dyDescent="0.4">
      <c r="B96" s="4"/>
    </row>
    <row r="97" spans="2:2" x14ac:dyDescent="0.4">
      <c r="B97" s="4"/>
    </row>
    <row r="98" spans="2:2" x14ac:dyDescent="0.4">
      <c r="B98" s="4"/>
    </row>
    <row r="99" spans="2:2" x14ac:dyDescent="0.4">
      <c r="B99" s="4"/>
    </row>
    <row r="100" spans="2:2" x14ac:dyDescent="0.4">
      <c r="B100" s="4"/>
    </row>
    <row r="101" spans="2:2" x14ac:dyDescent="0.4">
      <c r="B101" s="4"/>
    </row>
    <row r="102" spans="2:2" x14ac:dyDescent="0.4">
      <c r="B102" s="4"/>
    </row>
    <row r="103" spans="2:2" x14ac:dyDescent="0.4">
      <c r="B103" s="4"/>
    </row>
    <row r="104" spans="2:2" x14ac:dyDescent="0.4">
      <c r="B104" s="4"/>
    </row>
    <row r="105" spans="2:2" x14ac:dyDescent="0.4">
      <c r="B105" s="4"/>
    </row>
    <row r="106" spans="2:2" x14ac:dyDescent="0.4">
      <c r="B106" s="4"/>
    </row>
    <row r="107" spans="2:2" x14ac:dyDescent="0.4">
      <c r="B107" s="4"/>
    </row>
    <row r="108" spans="2:2" x14ac:dyDescent="0.4">
      <c r="B108" s="4"/>
    </row>
    <row r="109" spans="2:2" x14ac:dyDescent="0.4">
      <c r="B109" s="4"/>
    </row>
    <row r="110" spans="2:2" x14ac:dyDescent="0.4">
      <c r="B110" s="4"/>
    </row>
    <row r="111" spans="2:2" x14ac:dyDescent="0.4">
      <c r="B111" s="4"/>
    </row>
    <row r="112" spans="2:2" x14ac:dyDescent="0.4">
      <c r="B112" s="4"/>
    </row>
    <row r="113" spans="2:2" x14ac:dyDescent="0.4">
      <c r="B113" s="4"/>
    </row>
    <row r="114" spans="2:2" x14ac:dyDescent="0.4">
      <c r="B114" s="4"/>
    </row>
    <row r="115" spans="2:2" x14ac:dyDescent="0.4">
      <c r="B115" s="4"/>
    </row>
    <row r="116" spans="2:2" x14ac:dyDescent="0.4">
      <c r="B116" s="4"/>
    </row>
    <row r="117" spans="2:2" x14ac:dyDescent="0.4">
      <c r="B117" s="4"/>
    </row>
    <row r="118" spans="2:2" x14ac:dyDescent="0.4">
      <c r="B118" s="4"/>
    </row>
    <row r="119" spans="2:2" x14ac:dyDescent="0.4">
      <c r="B119" s="4"/>
    </row>
    <row r="120" spans="2:2" x14ac:dyDescent="0.4">
      <c r="B120" s="4"/>
    </row>
    <row r="121" spans="2:2" x14ac:dyDescent="0.4">
      <c r="B121" s="4"/>
    </row>
    <row r="122" spans="2:2" x14ac:dyDescent="0.4">
      <c r="B122" s="4"/>
    </row>
    <row r="123" spans="2:2" x14ac:dyDescent="0.4">
      <c r="B123" s="4"/>
    </row>
    <row r="124" spans="2:2" x14ac:dyDescent="0.4">
      <c r="B124" s="4"/>
    </row>
    <row r="125" spans="2:2" x14ac:dyDescent="0.4">
      <c r="B125" s="4"/>
    </row>
    <row r="126" spans="2:2" x14ac:dyDescent="0.4">
      <c r="B126" s="4"/>
    </row>
    <row r="127" spans="2:2" x14ac:dyDescent="0.4">
      <c r="B127" s="4"/>
    </row>
    <row r="128" spans="2:2" x14ac:dyDescent="0.4">
      <c r="B128" s="4"/>
    </row>
    <row r="129" spans="2:2" x14ac:dyDescent="0.4">
      <c r="B129" s="4"/>
    </row>
    <row r="130" spans="2:2" x14ac:dyDescent="0.4">
      <c r="B130" s="4"/>
    </row>
    <row r="131" spans="2:2" x14ac:dyDescent="0.4">
      <c r="B131" s="4"/>
    </row>
    <row r="132" spans="2:2" x14ac:dyDescent="0.4">
      <c r="B132" s="4"/>
    </row>
    <row r="133" spans="2:2" x14ac:dyDescent="0.4">
      <c r="B133" s="4"/>
    </row>
    <row r="134" spans="2:2" x14ac:dyDescent="0.4">
      <c r="B134" s="4"/>
    </row>
    <row r="135" spans="2:2" x14ac:dyDescent="0.4">
      <c r="B135" s="4"/>
    </row>
    <row r="136" spans="2:2" x14ac:dyDescent="0.4">
      <c r="B136" s="4"/>
    </row>
    <row r="137" spans="2:2" x14ac:dyDescent="0.4">
      <c r="B137" s="4"/>
    </row>
    <row r="138" spans="2:2" x14ac:dyDescent="0.4">
      <c r="B138" s="4"/>
    </row>
    <row r="139" spans="2:2" x14ac:dyDescent="0.4">
      <c r="B139" s="4"/>
    </row>
    <row r="140" spans="2:2" x14ac:dyDescent="0.4">
      <c r="B140" s="4"/>
    </row>
    <row r="141" spans="2:2" x14ac:dyDescent="0.4">
      <c r="B141" s="4"/>
    </row>
    <row r="142" spans="2:2" x14ac:dyDescent="0.4">
      <c r="B142" s="4"/>
    </row>
    <row r="143" spans="2:2" x14ac:dyDescent="0.4">
      <c r="B143" s="4"/>
    </row>
    <row r="144" spans="2:2" x14ac:dyDescent="0.4">
      <c r="B144" s="4"/>
    </row>
    <row r="145" spans="2:2" x14ac:dyDescent="0.4">
      <c r="B145" s="4"/>
    </row>
    <row r="146" spans="2:2" x14ac:dyDescent="0.4">
      <c r="B146" s="4"/>
    </row>
    <row r="147" spans="2:2" x14ac:dyDescent="0.4">
      <c r="B147" s="4"/>
    </row>
    <row r="148" spans="2:2" x14ac:dyDescent="0.4">
      <c r="B148" s="4"/>
    </row>
    <row r="149" spans="2:2" x14ac:dyDescent="0.4">
      <c r="B149" s="4"/>
    </row>
    <row r="150" spans="2:2" x14ac:dyDescent="0.4">
      <c r="B150" s="4"/>
    </row>
    <row r="151" spans="2:2" x14ac:dyDescent="0.4">
      <c r="B151" s="4"/>
    </row>
    <row r="152" spans="2:2" x14ac:dyDescent="0.4">
      <c r="B152" s="4"/>
    </row>
    <row r="153" spans="2:2" x14ac:dyDescent="0.4">
      <c r="B153" s="4"/>
    </row>
    <row r="154" spans="2:2" x14ac:dyDescent="0.4">
      <c r="B154" s="4"/>
    </row>
    <row r="155" spans="2:2" x14ac:dyDescent="0.4">
      <c r="B155" s="4"/>
    </row>
    <row r="156" spans="2:2" x14ac:dyDescent="0.4">
      <c r="B156" s="4"/>
    </row>
    <row r="157" spans="2:2" x14ac:dyDescent="0.4">
      <c r="B157" s="4"/>
    </row>
    <row r="158" spans="2:2" x14ac:dyDescent="0.4">
      <c r="B158" s="4"/>
    </row>
    <row r="159" spans="2:2" x14ac:dyDescent="0.4">
      <c r="B159" s="4"/>
    </row>
    <row r="160" spans="2:2" x14ac:dyDescent="0.4">
      <c r="B160" s="4"/>
    </row>
    <row r="161" spans="2:2" x14ac:dyDescent="0.4">
      <c r="B161" s="4"/>
    </row>
    <row r="162" spans="2:2" x14ac:dyDescent="0.4">
      <c r="B162" s="4"/>
    </row>
    <row r="163" spans="2:2" x14ac:dyDescent="0.4">
      <c r="B163" s="4"/>
    </row>
    <row r="164" spans="2:2" x14ac:dyDescent="0.4">
      <c r="B164" s="4"/>
    </row>
    <row r="165" spans="2:2" x14ac:dyDescent="0.4">
      <c r="B165" s="4"/>
    </row>
    <row r="166" spans="2:2" x14ac:dyDescent="0.4">
      <c r="B166" s="4"/>
    </row>
    <row r="167" spans="2:2" x14ac:dyDescent="0.4">
      <c r="B167" s="4"/>
    </row>
    <row r="168" spans="2:2" x14ac:dyDescent="0.4">
      <c r="B168" s="4"/>
    </row>
    <row r="169" spans="2:2" x14ac:dyDescent="0.4">
      <c r="B169" s="4"/>
    </row>
    <row r="170" spans="2:2" x14ac:dyDescent="0.4">
      <c r="B170" s="4"/>
    </row>
    <row r="171" spans="2:2" x14ac:dyDescent="0.4">
      <c r="B171" s="4"/>
    </row>
    <row r="172" spans="2:2" x14ac:dyDescent="0.4">
      <c r="B172" s="4"/>
    </row>
    <row r="173" spans="2:2" x14ac:dyDescent="0.4">
      <c r="B173" s="4"/>
    </row>
    <row r="174" spans="2:2" x14ac:dyDescent="0.4">
      <c r="B174" s="4"/>
    </row>
    <row r="175" spans="2:2" x14ac:dyDescent="0.4">
      <c r="B175" s="4"/>
    </row>
    <row r="176" spans="2:2" x14ac:dyDescent="0.4">
      <c r="B176" s="4"/>
    </row>
    <row r="177" spans="2:2" x14ac:dyDescent="0.4">
      <c r="B177" s="4"/>
    </row>
    <row r="178" spans="2:2" x14ac:dyDescent="0.4">
      <c r="B178" s="4"/>
    </row>
    <row r="179" spans="2:2" x14ac:dyDescent="0.4">
      <c r="B179" s="4"/>
    </row>
    <row r="180" spans="2:2" x14ac:dyDescent="0.4">
      <c r="B180" s="4"/>
    </row>
    <row r="181" spans="2:2" x14ac:dyDescent="0.4">
      <c r="B181" s="4"/>
    </row>
    <row r="182" spans="2:2" x14ac:dyDescent="0.4">
      <c r="B182" s="4"/>
    </row>
    <row r="183" spans="2:2" x14ac:dyDescent="0.4">
      <c r="B183" s="4"/>
    </row>
    <row r="184" spans="2:2" x14ac:dyDescent="0.4">
      <c r="B184" s="4"/>
    </row>
    <row r="185" spans="2:2" x14ac:dyDescent="0.4">
      <c r="B185" s="4"/>
    </row>
    <row r="186" spans="2:2" x14ac:dyDescent="0.4">
      <c r="B186" s="4"/>
    </row>
    <row r="187" spans="2:2" x14ac:dyDescent="0.4">
      <c r="B187" s="4"/>
    </row>
    <row r="188" spans="2:2" x14ac:dyDescent="0.4">
      <c r="B188" s="4"/>
    </row>
    <row r="189" spans="2:2" x14ac:dyDescent="0.4">
      <c r="B189" s="4"/>
    </row>
    <row r="190" spans="2:2" x14ac:dyDescent="0.4">
      <c r="B190" s="4"/>
    </row>
    <row r="191" spans="2:2" x14ac:dyDescent="0.4">
      <c r="B191" s="4"/>
    </row>
    <row r="192" spans="2:2" x14ac:dyDescent="0.4">
      <c r="B192" s="4"/>
    </row>
    <row r="193" spans="2:2" x14ac:dyDescent="0.4">
      <c r="B193" s="4"/>
    </row>
    <row r="194" spans="2:2" x14ac:dyDescent="0.4">
      <c r="B194" s="4"/>
    </row>
    <row r="195" spans="2:2" x14ac:dyDescent="0.4">
      <c r="B195" s="4"/>
    </row>
    <row r="196" spans="2:2" x14ac:dyDescent="0.4">
      <c r="B196" s="4"/>
    </row>
    <row r="197" spans="2:2" x14ac:dyDescent="0.4">
      <c r="B197" s="4"/>
    </row>
    <row r="198" spans="2:2" x14ac:dyDescent="0.4">
      <c r="B198" s="4"/>
    </row>
    <row r="199" spans="2:2" x14ac:dyDescent="0.4">
      <c r="B199" s="4"/>
    </row>
    <row r="200" spans="2:2" x14ac:dyDescent="0.4">
      <c r="B200" s="4"/>
    </row>
    <row r="201" spans="2:2" x14ac:dyDescent="0.4">
      <c r="B201" s="4"/>
    </row>
    <row r="202" spans="2:2" x14ac:dyDescent="0.4">
      <c r="B202" s="4"/>
    </row>
    <row r="203" spans="2:2" x14ac:dyDescent="0.4">
      <c r="B203" s="4"/>
    </row>
    <row r="204" spans="2:2" x14ac:dyDescent="0.4">
      <c r="B204" s="4"/>
    </row>
    <row r="205" spans="2:2" x14ac:dyDescent="0.4">
      <c r="B205" s="4"/>
    </row>
    <row r="206" spans="2:2" x14ac:dyDescent="0.4">
      <c r="B206" s="4"/>
    </row>
    <row r="207" spans="2:2" x14ac:dyDescent="0.4">
      <c r="B207" s="4"/>
    </row>
    <row r="208" spans="2:2" x14ac:dyDescent="0.4">
      <c r="B208" s="4"/>
    </row>
    <row r="209" spans="2:2" x14ac:dyDescent="0.4">
      <c r="B209" s="4"/>
    </row>
    <row r="210" spans="2:2" x14ac:dyDescent="0.4">
      <c r="B210" s="4"/>
    </row>
    <row r="211" spans="2:2" x14ac:dyDescent="0.4">
      <c r="B211" s="4"/>
    </row>
    <row r="212" spans="2:2" x14ac:dyDescent="0.4">
      <c r="B212" s="4"/>
    </row>
    <row r="213" spans="2:2" x14ac:dyDescent="0.4">
      <c r="B213" s="4"/>
    </row>
    <row r="214" spans="2:2" x14ac:dyDescent="0.4">
      <c r="B214" s="4"/>
    </row>
    <row r="215" spans="2:2" x14ac:dyDescent="0.4">
      <c r="B215" s="4"/>
    </row>
    <row r="216" spans="2:2" x14ac:dyDescent="0.4">
      <c r="B216" s="4"/>
    </row>
    <row r="217" spans="2:2" x14ac:dyDescent="0.4">
      <c r="B217" s="4"/>
    </row>
    <row r="218" spans="2:2" x14ac:dyDescent="0.4">
      <c r="B218" s="4"/>
    </row>
    <row r="219" spans="2:2" x14ac:dyDescent="0.4">
      <c r="B219" s="4"/>
    </row>
    <row r="220" spans="2:2" x14ac:dyDescent="0.4">
      <c r="B220" s="4"/>
    </row>
    <row r="221" spans="2:2" x14ac:dyDescent="0.4">
      <c r="B221" s="4"/>
    </row>
    <row r="222" spans="2:2" x14ac:dyDescent="0.4">
      <c r="B222" s="4"/>
    </row>
    <row r="223" spans="2:2" x14ac:dyDescent="0.4">
      <c r="B223" s="4"/>
    </row>
    <row r="224" spans="2:2" x14ac:dyDescent="0.4">
      <c r="B224" s="4"/>
    </row>
    <row r="225" spans="2:2" x14ac:dyDescent="0.4">
      <c r="B225" s="4"/>
    </row>
    <row r="226" spans="2:2" x14ac:dyDescent="0.4">
      <c r="B226" s="4"/>
    </row>
    <row r="227" spans="2:2" x14ac:dyDescent="0.4">
      <c r="B227" s="4"/>
    </row>
    <row r="228" spans="2:2" x14ac:dyDescent="0.4">
      <c r="B228" s="4"/>
    </row>
    <row r="229" spans="2:2" x14ac:dyDescent="0.4">
      <c r="B229" s="4"/>
    </row>
    <row r="230" spans="2:2" x14ac:dyDescent="0.4">
      <c r="B230" s="4"/>
    </row>
    <row r="231" spans="2:2" x14ac:dyDescent="0.4">
      <c r="B231" s="4"/>
    </row>
    <row r="232" spans="2:2" x14ac:dyDescent="0.4">
      <c r="B232" s="4"/>
    </row>
    <row r="233" spans="2:2" x14ac:dyDescent="0.4">
      <c r="B233" s="4"/>
    </row>
    <row r="234" spans="2:2" x14ac:dyDescent="0.4">
      <c r="B234" s="4"/>
    </row>
    <row r="235" spans="2:2" x14ac:dyDescent="0.4">
      <c r="B235" s="4"/>
    </row>
    <row r="236" spans="2:2" x14ac:dyDescent="0.4">
      <c r="B236" s="4"/>
    </row>
    <row r="237" spans="2:2" x14ac:dyDescent="0.4">
      <c r="B237" s="4"/>
    </row>
    <row r="238" spans="2:2" x14ac:dyDescent="0.4">
      <c r="B238" s="4"/>
    </row>
    <row r="239" spans="2:2" x14ac:dyDescent="0.4">
      <c r="B239" s="4"/>
    </row>
    <row r="240" spans="2:2" x14ac:dyDescent="0.4">
      <c r="B240" s="4"/>
    </row>
    <row r="241" spans="2:2" x14ac:dyDescent="0.4">
      <c r="B241" s="4"/>
    </row>
    <row r="242" spans="2:2" x14ac:dyDescent="0.4">
      <c r="B242" s="4"/>
    </row>
    <row r="243" spans="2:2" x14ac:dyDescent="0.4">
      <c r="B243" s="4"/>
    </row>
    <row r="244" spans="2:2" x14ac:dyDescent="0.4">
      <c r="B244" s="4"/>
    </row>
    <row r="245" spans="2:2" x14ac:dyDescent="0.4">
      <c r="B245" s="4"/>
    </row>
    <row r="246" spans="2:2" x14ac:dyDescent="0.4">
      <c r="B246" s="4"/>
    </row>
    <row r="247" spans="2:2" x14ac:dyDescent="0.4">
      <c r="B247" s="4"/>
    </row>
    <row r="248" spans="2:2" x14ac:dyDescent="0.4">
      <c r="B248" s="4"/>
    </row>
    <row r="249" spans="2:2" x14ac:dyDescent="0.4">
      <c r="B249" s="4"/>
    </row>
    <row r="250" spans="2:2" x14ac:dyDescent="0.4">
      <c r="B250" s="4"/>
    </row>
    <row r="251" spans="2:2" x14ac:dyDescent="0.4">
      <c r="B251" s="4"/>
    </row>
    <row r="252" spans="2:2" x14ac:dyDescent="0.4">
      <c r="B252" s="4"/>
    </row>
    <row r="253" spans="2:2" x14ac:dyDescent="0.4">
      <c r="B253" s="4"/>
    </row>
    <row r="254" spans="2:2" x14ac:dyDescent="0.4">
      <c r="B254" s="4"/>
    </row>
    <row r="255" spans="2:2" x14ac:dyDescent="0.4">
      <c r="B255" s="4"/>
    </row>
    <row r="256" spans="2:2" x14ac:dyDescent="0.4">
      <c r="B256" s="4"/>
    </row>
    <row r="257" spans="2:2" x14ac:dyDescent="0.4">
      <c r="B257" s="4"/>
    </row>
    <row r="258" spans="2:2" x14ac:dyDescent="0.4">
      <c r="B258" s="4"/>
    </row>
    <row r="259" spans="2:2" x14ac:dyDescent="0.4">
      <c r="B259" s="4"/>
    </row>
    <row r="260" spans="2:2" x14ac:dyDescent="0.4">
      <c r="B260" s="4"/>
    </row>
    <row r="261" spans="2:2" x14ac:dyDescent="0.4">
      <c r="B261" s="4"/>
    </row>
    <row r="262" spans="2:2" x14ac:dyDescent="0.4">
      <c r="B262" s="4"/>
    </row>
    <row r="263" spans="2:2" x14ac:dyDescent="0.4">
      <c r="B263" s="4"/>
    </row>
    <row r="264" spans="2:2" x14ac:dyDescent="0.4">
      <c r="B264" s="4"/>
    </row>
    <row r="265" spans="2:2" x14ac:dyDescent="0.4">
      <c r="B265" s="4"/>
    </row>
    <row r="266" spans="2:2" x14ac:dyDescent="0.4">
      <c r="B266" s="4"/>
    </row>
    <row r="267" spans="2:2" x14ac:dyDescent="0.4">
      <c r="B267" s="4"/>
    </row>
    <row r="268" spans="2:2" x14ac:dyDescent="0.4">
      <c r="B268" s="4"/>
    </row>
    <row r="269" spans="2:2" x14ac:dyDescent="0.4">
      <c r="B269" s="4"/>
    </row>
    <row r="270" spans="2:2" x14ac:dyDescent="0.4">
      <c r="B270" s="4"/>
    </row>
    <row r="271" spans="2:2" x14ac:dyDescent="0.4">
      <c r="B271" s="4"/>
    </row>
    <row r="272" spans="2:2" x14ac:dyDescent="0.4">
      <c r="B272" s="4"/>
    </row>
    <row r="273" spans="2:2" x14ac:dyDescent="0.4">
      <c r="B273" s="4"/>
    </row>
    <row r="274" spans="2:2" x14ac:dyDescent="0.4">
      <c r="B274" s="4"/>
    </row>
    <row r="275" spans="2:2" x14ac:dyDescent="0.4">
      <c r="B275" s="4"/>
    </row>
    <row r="276" spans="2:2" x14ac:dyDescent="0.4">
      <c r="B276" s="4"/>
    </row>
    <row r="277" spans="2:2" x14ac:dyDescent="0.4">
      <c r="B277" s="4"/>
    </row>
    <row r="278" spans="2:2" x14ac:dyDescent="0.4">
      <c r="B278" s="4"/>
    </row>
    <row r="279" spans="2:2" x14ac:dyDescent="0.4">
      <c r="B279" s="4"/>
    </row>
    <row r="280" spans="2:2" x14ac:dyDescent="0.4">
      <c r="B280" s="4"/>
    </row>
    <row r="281" spans="2:2" x14ac:dyDescent="0.4">
      <c r="B281" s="4"/>
    </row>
    <row r="282" spans="2:2" x14ac:dyDescent="0.4">
      <c r="B282" s="4"/>
    </row>
    <row r="283" spans="2:2" x14ac:dyDescent="0.4">
      <c r="B283" s="4"/>
    </row>
    <row r="284" spans="2:2" x14ac:dyDescent="0.4">
      <c r="B284" s="4"/>
    </row>
    <row r="285" spans="2:2" x14ac:dyDescent="0.4">
      <c r="B285" s="4"/>
    </row>
    <row r="286" spans="2:2" x14ac:dyDescent="0.4">
      <c r="B286" s="4"/>
    </row>
    <row r="287" spans="2:2" x14ac:dyDescent="0.4">
      <c r="B287" s="4"/>
    </row>
    <row r="288" spans="2:2" x14ac:dyDescent="0.4">
      <c r="B288" s="4"/>
    </row>
    <row r="289" spans="2:2" x14ac:dyDescent="0.4">
      <c r="B289" s="4"/>
    </row>
    <row r="290" spans="2:2" x14ac:dyDescent="0.4">
      <c r="B290" s="4"/>
    </row>
    <row r="291" spans="2:2" x14ac:dyDescent="0.4">
      <c r="B291" s="4"/>
    </row>
    <row r="292" spans="2:2" x14ac:dyDescent="0.4">
      <c r="B292" s="4"/>
    </row>
    <row r="293" spans="2:2" x14ac:dyDescent="0.4">
      <c r="B293" s="4"/>
    </row>
    <row r="294" spans="2:2" x14ac:dyDescent="0.4">
      <c r="B294" s="4"/>
    </row>
    <row r="295" spans="2:2" x14ac:dyDescent="0.4">
      <c r="B295" s="4"/>
    </row>
    <row r="296" spans="2:2" x14ac:dyDescent="0.4">
      <c r="B296" s="4"/>
    </row>
    <row r="297" spans="2:2" x14ac:dyDescent="0.4">
      <c r="B297" s="4"/>
    </row>
    <row r="298" spans="2:2" x14ac:dyDescent="0.4">
      <c r="B298" s="4"/>
    </row>
    <row r="299" spans="2:2" x14ac:dyDescent="0.4">
      <c r="B299" s="4"/>
    </row>
    <row r="300" spans="2:2" x14ac:dyDescent="0.4">
      <c r="B300" s="4"/>
    </row>
    <row r="301" spans="2:2" x14ac:dyDescent="0.4">
      <c r="B301" s="4"/>
    </row>
    <row r="302" spans="2:2" x14ac:dyDescent="0.4">
      <c r="B302" s="4"/>
    </row>
    <row r="303" spans="2:2" x14ac:dyDescent="0.4">
      <c r="B303" s="4"/>
    </row>
    <row r="304" spans="2:2" x14ac:dyDescent="0.4">
      <c r="B304" s="4"/>
    </row>
    <row r="305" spans="2:2" x14ac:dyDescent="0.4">
      <c r="B305" s="4"/>
    </row>
    <row r="306" spans="2:2" x14ac:dyDescent="0.4">
      <c r="B306" s="4"/>
    </row>
    <row r="307" spans="2:2" x14ac:dyDescent="0.4">
      <c r="B307" s="4"/>
    </row>
    <row r="308" spans="2:2" x14ac:dyDescent="0.4">
      <c r="B308" s="4"/>
    </row>
    <row r="309" spans="2:2" x14ac:dyDescent="0.4">
      <c r="B309" s="4"/>
    </row>
    <row r="310" spans="2:2" x14ac:dyDescent="0.4">
      <c r="B310" s="4"/>
    </row>
    <row r="311" spans="2:2" x14ac:dyDescent="0.4">
      <c r="B311" s="4"/>
    </row>
    <row r="312" spans="2:2" x14ac:dyDescent="0.4">
      <c r="B312" s="4"/>
    </row>
    <row r="313" spans="2:2" x14ac:dyDescent="0.4">
      <c r="B313" s="4"/>
    </row>
    <row r="314" spans="2:2" x14ac:dyDescent="0.4">
      <c r="B314" s="4"/>
    </row>
    <row r="315" spans="2:2" x14ac:dyDescent="0.4">
      <c r="B315" s="4"/>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D819-7040-4C32-9463-4329A0E2D0D8}">
  <dimension ref="A1:H315"/>
  <sheetViews>
    <sheetView workbookViewId="0">
      <selection activeCell="B4" sqref="B4:B5"/>
    </sheetView>
  </sheetViews>
  <sheetFormatPr defaultRowHeight="19.5" x14ac:dyDescent="0.4"/>
  <cols>
    <col min="1" max="1" width="10.26953125" bestFit="1" customWidth="1"/>
    <col min="2" max="2" width="16.1796875" style="8" bestFit="1" customWidth="1"/>
  </cols>
  <sheetData>
    <row r="1" spans="1:8" x14ac:dyDescent="0.4">
      <c r="B1"/>
    </row>
    <row r="3" spans="1:8" x14ac:dyDescent="0.4">
      <c r="A3" s="6" t="s">
        <v>470</v>
      </c>
      <c r="B3" s="9" t="s">
        <v>475</v>
      </c>
    </row>
    <row r="4" spans="1:8" x14ac:dyDescent="0.4">
      <c r="A4" s="7" t="s">
        <v>9</v>
      </c>
      <c r="B4" s="15">
        <v>67786.727272727279</v>
      </c>
    </row>
    <row r="5" spans="1:8" x14ac:dyDescent="0.4">
      <c r="A5" s="7" t="s">
        <v>31</v>
      </c>
      <c r="B5" s="15">
        <v>70629.399999999994</v>
      </c>
    </row>
    <row r="6" spans="1:8" x14ac:dyDescent="0.4">
      <c r="A6" s="7" t="s">
        <v>472</v>
      </c>
      <c r="B6" s="9">
        <v>69020.684887459807</v>
      </c>
    </row>
    <row r="7" spans="1:8" x14ac:dyDescent="0.4">
      <c r="B7"/>
      <c r="G7" t="s">
        <v>470</v>
      </c>
    </row>
    <row r="8" spans="1:8" x14ac:dyDescent="0.4">
      <c r="B8"/>
    </row>
    <row r="9" spans="1:8" x14ac:dyDescent="0.4">
      <c r="B9"/>
    </row>
    <row r="10" spans="1:8" x14ac:dyDescent="0.4">
      <c r="B10"/>
    </row>
    <row r="11" spans="1:8" x14ac:dyDescent="0.4">
      <c r="B11"/>
    </row>
    <row r="12" spans="1:8" x14ac:dyDescent="0.4">
      <c r="B12"/>
    </row>
    <row r="13" spans="1:8" x14ac:dyDescent="0.4">
      <c r="B13"/>
    </row>
    <row r="14" spans="1:8" x14ac:dyDescent="0.4">
      <c r="B14"/>
      <c r="H14" t="s">
        <v>470</v>
      </c>
    </row>
    <row r="15" spans="1:8" x14ac:dyDescent="0.4">
      <c r="B15"/>
    </row>
    <row r="16" spans="1:8"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row>
    <row r="27" spans="2:2" x14ac:dyDescent="0.4">
      <c r="B27"/>
    </row>
    <row r="28" spans="2:2" x14ac:dyDescent="0.4">
      <c r="B28"/>
    </row>
    <row r="29" spans="2:2" x14ac:dyDescent="0.4">
      <c r="B29"/>
    </row>
    <row r="30" spans="2:2" x14ac:dyDescent="0.4">
      <c r="B30"/>
    </row>
    <row r="31" spans="2:2" x14ac:dyDescent="0.4">
      <c r="B31"/>
    </row>
    <row r="32" spans="2:2"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row>
    <row r="78" spans="2:2" x14ac:dyDescent="0.4">
      <c r="B78"/>
    </row>
    <row r="79" spans="2:2" x14ac:dyDescent="0.4">
      <c r="B79"/>
    </row>
    <row r="80" spans="2:2" x14ac:dyDescent="0.4">
      <c r="B80"/>
    </row>
    <row r="81" spans="2:2" x14ac:dyDescent="0.4">
      <c r="B81"/>
    </row>
    <row r="82" spans="2:2" x14ac:dyDescent="0.4">
      <c r="B82"/>
    </row>
    <row r="83" spans="2:2" x14ac:dyDescent="0.4">
      <c r="B83"/>
    </row>
    <row r="84" spans="2:2" x14ac:dyDescent="0.4">
      <c r="B84"/>
    </row>
    <row r="85" spans="2:2" x14ac:dyDescent="0.4">
      <c r="B85"/>
    </row>
    <row r="86" spans="2:2" x14ac:dyDescent="0.4">
      <c r="B86"/>
    </row>
    <row r="87" spans="2:2" x14ac:dyDescent="0.4">
      <c r="B87"/>
    </row>
    <row r="88" spans="2:2" x14ac:dyDescent="0.4">
      <c r="B88"/>
    </row>
    <row r="89" spans="2:2" x14ac:dyDescent="0.4">
      <c r="B89"/>
    </row>
    <row r="90" spans="2:2" x14ac:dyDescent="0.4">
      <c r="B90"/>
    </row>
    <row r="91" spans="2:2" x14ac:dyDescent="0.4">
      <c r="B91"/>
    </row>
    <row r="92" spans="2:2" x14ac:dyDescent="0.4">
      <c r="B92"/>
    </row>
    <row r="93" spans="2:2" x14ac:dyDescent="0.4">
      <c r="B93"/>
    </row>
    <row r="94" spans="2:2" x14ac:dyDescent="0.4">
      <c r="B94"/>
    </row>
    <row r="95" spans="2:2" x14ac:dyDescent="0.4">
      <c r="B95"/>
    </row>
    <row r="96" spans="2:2" x14ac:dyDescent="0.4">
      <c r="B96"/>
    </row>
    <row r="97" spans="2:2" x14ac:dyDescent="0.4">
      <c r="B97"/>
    </row>
    <row r="98" spans="2:2" x14ac:dyDescent="0.4">
      <c r="B98"/>
    </row>
    <row r="99" spans="2:2" x14ac:dyDescent="0.4">
      <c r="B99"/>
    </row>
    <row r="100" spans="2:2" x14ac:dyDescent="0.4">
      <c r="B100"/>
    </row>
    <row r="101" spans="2:2" x14ac:dyDescent="0.4">
      <c r="B101"/>
    </row>
    <row r="102" spans="2:2" x14ac:dyDescent="0.4">
      <c r="B102"/>
    </row>
    <row r="103" spans="2:2" x14ac:dyDescent="0.4">
      <c r="B103"/>
    </row>
    <row r="104" spans="2:2" x14ac:dyDescent="0.4">
      <c r="B104"/>
    </row>
    <row r="105" spans="2:2" x14ac:dyDescent="0.4">
      <c r="B105"/>
    </row>
    <row r="106" spans="2:2" x14ac:dyDescent="0.4">
      <c r="B106"/>
    </row>
    <row r="107" spans="2:2" x14ac:dyDescent="0.4">
      <c r="B107"/>
    </row>
    <row r="108" spans="2:2" x14ac:dyDescent="0.4">
      <c r="B108"/>
    </row>
    <row r="109" spans="2:2" x14ac:dyDescent="0.4">
      <c r="B109"/>
    </row>
    <row r="110" spans="2:2" x14ac:dyDescent="0.4">
      <c r="B110"/>
    </row>
    <row r="111" spans="2:2" x14ac:dyDescent="0.4">
      <c r="B111"/>
    </row>
    <row r="112" spans="2:2" x14ac:dyDescent="0.4">
      <c r="B112"/>
    </row>
    <row r="113" spans="2:2" x14ac:dyDescent="0.4">
      <c r="B113"/>
    </row>
    <row r="114" spans="2:2" x14ac:dyDescent="0.4">
      <c r="B114"/>
    </row>
    <row r="115" spans="2:2" x14ac:dyDescent="0.4">
      <c r="B115"/>
    </row>
    <row r="116" spans="2:2" x14ac:dyDescent="0.4">
      <c r="B116"/>
    </row>
    <row r="117" spans="2:2" x14ac:dyDescent="0.4">
      <c r="B117"/>
    </row>
    <row r="118" spans="2:2" x14ac:dyDescent="0.4">
      <c r="B118"/>
    </row>
    <row r="119" spans="2:2" x14ac:dyDescent="0.4">
      <c r="B119"/>
    </row>
    <row r="120" spans="2:2" x14ac:dyDescent="0.4">
      <c r="B120"/>
    </row>
    <row r="121" spans="2:2" x14ac:dyDescent="0.4">
      <c r="B121"/>
    </row>
    <row r="122" spans="2:2" x14ac:dyDescent="0.4">
      <c r="B122"/>
    </row>
    <row r="123" spans="2:2" x14ac:dyDescent="0.4">
      <c r="B123"/>
    </row>
    <row r="124" spans="2:2" x14ac:dyDescent="0.4">
      <c r="B124"/>
    </row>
    <row r="125" spans="2:2" x14ac:dyDescent="0.4">
      <c r="B125"/>
    </row>
    <row r="126" spans="2:2" x14ac:dyDescent="0.4">
      <c r="B126"/>
    </row>
    <row r="127" spans="2:2" x14ac:dyDescent="0.4">
      <c r="B127"/>
    </row>
    <row r="128" spans="2:2" x14ac:dyDescent="0.4">
      <c r="B128"/>
    </row>
    <row r="129" spans="2:2" x14ac:dyDescent="0.4">
      <c r="B129"/>
    </row>
    <row r="130" spans="2:2" x14ac:dyDescent="0.4">
      <c r="B130"/>
    </row>
    <row r="131" spans="2:2" x14ac:dyDescent="0.4">
      <c r="B131"/>
    </row>
    <row r="132" spans="2:2" x14ac:dyDescent="0.4">
      <c r="B132"/>
    </row>
    <row r="133" spans="2:2" x14ac:dyDescent="0.4">
      <c r="B133"/>
    </row>
    <row r="134" spans="2:2" x14ac:dyDescent="0.4">
      <c r="B134"/>
    </row>
    <row r="135" spans="2:2" x14ac:dyDescent="0.4">
      <c r="B135"/>
    </row>
    <row r="136" spans="2:2" x14ac:dyDescent="0.4">
      <c r="B136"/>
    </row>
    <row r="137" spans="2:2" x14ac:dyDescent="0.4">
      <c r="B137"/>
    </row>
    <row r="138" spans="2:2" x14ac:dyDescent="0.4">
      <c r="B138"/>
    </row>
    <row r="139" spans="2:2" x14ac:dyDescent="0.4">
      <c r="B139"/>
    </row>
    <row r="140" spans="2:2" x14ac:dyDescent="0.4">
      <c r="B140"/>
    </row>
    <row r="141" spans="2:2" x14ac:dyDescent="0.4">
      <c r="B141"/>
    </row>
    <row r="142" spans="2:2" x14ac:dyDescent="0.4">
      <c r="B142"/>
    </row>
    <row r="143" spans="2:2" x14ac:dyDescent="0.4">
      <c r="B143"/>
    </row>
    <row r="144" spans="2:2" x14ac:dyDescent="0.4">
      <c r="B144"/>
    </row>
    <row r="145" spans="2:2" x14ac:dyDescent="0.4">
      <c r="B145"/>
    </row>
    <row r="146" spans="2:2" x14ac:dyDescent="0.4">
      <c r="B146"/>
    </row>
    <row r="147" spans="2:2" x14ac:dyDescent="0.4">
      <c r="B147"/>
    </row>
    <row r="148" spans="2:2" x14ac:dyDescent="0.4">
      <c r="B148"/>
    </row>
    <row r="149" spans="2:2" x14ac:dyDescent="0.4">
      <c r="B149"/>
    </row>
    <row r="150" spans="2:2" x14ac:dyDescent="0.4">
      <c r="B150"/>
    </row>
    <row r="151" spans="2:2" x14ac:dyDescent="0.4">
      <c r="B151"/>
    </row>
    <row r="152" spans="2:2" x14ac:dyDescent="0.4">
      <c r="B152"/>
    </row>
    <row r="153" spans="2:2" x14ac:dyDescent="0.4">
      <c r="B153"/>
    </row>
    <row r="154" spans="2:2" x14ac:dyDescent="0.4">
      <c r="B154"/>
    </row>
    <row r="155" spans="2:2" x14ac:dyDescent="0.4">
      <c r="B155"/>
    </row>
    <row r="156" spans="2:2" x14ac:dyDescent="0.4">
      <c r="B156"/>
    </row>
    <row r="157" spans="2:2" x14ac:dyDescent="0.4">
      <c r="B157"/>
    </row>
    <row r="158" spans="2:2" x14ac:dyDescent="0.4">
      <c r="B158"/>
    </row>
    <row r="159" spans="2:2" x14ac:dyDescent="0.4">
      <c r="B159"/>
    </row>
    <row r="160" spans="2:2" x14ac:dyDescent="0.4">
      <c r="B160"/>
    </row>
    <row r="161" spans="2:2" x14ac:dyDescent="0.4">
      <c r="B161"/>
    </row>
    <row r="162" spans="2:2" x14ac:dyDescent="0.4">
      <c r="B162"/>
    </row>
    <row r="163" spans="2:2" x14ac:dyDescent="0.4">
      <c r="B163"/>
    </row>
    <row r="164" spans="2:2" x14ac:dyDescent="0.4">
      <c r="B164"/>
    </row>
    <row r="165" spans="2:2" x14ac:dyDescent="0.4">
      <c r="B165"/>
    </row>
    <row r="166" spans="2:2" x14ac:dyDescent="0.4">
      <c r="B166"/>
    </row>
    <row r="167" spans="2:2" x14ac:dyDescent="0.4">
      <c r="B167"/>
    </row>
    <row r="168" spans="2:2" x14ac:dyDescent="0.4">
      <c r="B168"/>
    </row>
    <row r="169" spans="2:2" x14ac:dyDescent="0.4">
      <c r="B169"/>
    </row>
    <row r="170" spans="2:2" x14ac:dyDescent="0.4">
      <c r="B170"/>
    </row>
    <row r="171" spans="2:2" x14ac:dyDescent="0.4">
      <c r="B171"/>
    </row>
    <row r="172" spans="2:2" x14ac:dyDescent="0.4">
      <c r="B172"/>
    </row>
    <row r="173" spans="2:2" x14ac:dyDescent="0.4">
      <c r="B173"/>
    </row>
    <row r="174" spans="2:2" x14ac:dyDescent="0.4">
      <c r="B174"/>
    </row>
    <row r="175" spans="2:2" x14ac:dyDescent="0.4">
      <c r="B175"/>
    </row>
    <row r="176" spans="2:2" x14ac:dyDescent="0.4">
      <c r="B176"/>
    </row>
    <row r="177" spans="2:2" x14ac:dyDescent="0.4">
      <c r="B177"/>
    </row>
    <row r="178" spans="2:2" x14ac:dyDescent="0.4">
      <c r="B178"/>
    </row>
    <row r="179" spans="2:2" x14ac:dyDescent="0.4">
      <c r="B179"/>
    </row>
    <row r="180" spans="2:2" x14ac:dyDescent="0.4">
      <c r="B180"/>
    </row>
    <row r="181" spans="2:2" x14ac:dyDescent="0.4">
      <c r="B181"/>
    </row>
    <row r="182" spans="2:2" x14ac:dyDescent="0.4">
      <c r="B182"/>
    </row>
    <row r="183" spans="2:2" x14ac:dyDescent="0.4">
      <c r="B183"/>
    </row>
    <row r="184" spans="2:2" x14ac:dyDescent="0.4">
      <c r="B184"/>
    </row>
    <row r="185" spans="2:2" x14ac:dyDescent="0.4">
      <c r="B185"/>
    </row>
    <row r="186" spans="2:2" x14ac:dyDescent="0.4">
      <c r="B186"/>
    </row>
    <row r="187" spans="2:2" x14ac:dyDescent="0.4">
      <c r="B187"/>
    </row>
    <row r="188" spans="2:2" x14ac:dyDescent="0.4">
      <c r="B188"/>
    </row>
    <row r="189" spans="2:2" x14ac:dyDescent="0.4">
      <c r="B189"/>
    </row>
    <row r="190" spans="2:2" x14ac:dyDescent="0.4">
      <c r="B190"/>
    </row>
    <row r="191" spans="2:2" x14ac:dyDescent="0.4">
      <c r="B191"/>
    </row>
    <row r="192" spans="2:2" x14ac:dyDescent="0.4">
      <c r="B192"/>
    </row>
    <row r="193" spans="2:2" x14ac:dyDescent="0.4">
      <c r="B193"/>
    </row>
    <row r="194" spans="2:2" x14ac:dyDescent="0.4">
      <c r="B194"/>
    </row>
    <row r="195" spans="2:2" x14ac:dyDescent="0.4">
      <c r="B195"/>
    </row>
    <row r="196" spans="2:2" x14ac:dyDescent="0.4">
      <c r="B196"/>
    </row>
    <row r="197" spans="2:2" x14ac:dyDescent="0.4">
      <c r="B197"/>
    </row>
    <row r="198" spans="2:2" x14ac:dyDescent="0.4">
      <c r="B198"/>
    </row>
    <row r="199" spans="2:2" x14ac:dyDescent="0.4">
      <c r="B199"/>
    </row>
    <row r="200" spans="2:2" x14ac:dyDescent="0.4">
      <c r="B200"/>
    </row>
    <row r="201" spans="2:2" x14ac:dyDescent="0.4">
      <c r="B201"/>
    </row>
    <row r="202" spans="2:2" x14ac:dyDescent="0.4">
      <c r="B202"/>
    </row>
    <row r="203" spans="2:2" x14ac:dyDescent="0.4">
      <c r="B203"/>
    </row>
    <row r="204" spans="2:2" x14ac:dyDescent="0.4">
      <c r="B204"/>
    </row>
    <row r="205" spans="2:2" x14ac:dyDescent="0.4">
      <c r="B205"/>
    </row>
    <row r="206" spans="2:2" x14ac:dyDescent="0.4">
      <c r="B206"/>
    </row>
    <row r="207" spans="2:2" x14ac:dyDescent="0.4">
      <c r="B207"/>
    </row>
    <row r="208" spans="2:2" x14ac:dyDescent="0.4">
      <c r="B208"/>
    </row>
    <row r="209" spans="2:2" x14ac:dyDescent="0.4">
      <c r="B209"/>
    </row>
    <row r="210" spans="2:2" x14ac:dyDescent="0.4">
      <c r="B210"/>
    </row>
    <row r="211" spans="2:2" x14ac:dyDescent="0.4">
      <c r="B211"/>
    </row>
    <row r="212" spans="2:2" x14ac:dyDescent="0.4">
      <c r="B212"/>
    </row>
    <row r="213" spans="2:2" x14ac:dyDescent="0.4">
      <c r="B213"/>
    </row>
    <row r="214" spans="2:2" x14ac:dyDescent="0.4">
      <c r="B214"/>
    </row>
    <row r="215" spans="2:2" x14ac:dyDescent="0.4">
      <c r="B215"/>
    </row>
    <row r="216" spans="2:2" x14ac:dyDescent="0.4">
      <c r="B216"/>
    </row>
    <row r="217" spans="2:2" x14ac:dyDescent="0.4">
      <c r="B217"/>
    </row>
    <row r="218" spans="2:2" x14ac:dyDescent="0.4">
      <c r="B218"/>
    </row>
    <row r="219" spans="2:2" x14ac:dyDescent="0.4">
      <c r="B219"/>
    </row>
    <row r="220" spans="2:2" x14ac:dyDescent="0.4">
      <c r="B220"/>
    </row>
    <row r="221" spans="2:2" x14ac:dyDescent="0.4">
      <c r="B221"/>
    </row>
    <row r="222" spans="2:2" x14ac:dyDescent="0.4">
      <c r="B222"/>
    </row>
    <row r="223" spans="2:2" x14ac:dyDescent="0.4">
      <c r="B223"/>
    </row>
    <row r="224" spans="2:2" x14ac:dyDescent="0.4">
      <c r="B224"/>
    </row>
    <row r="225" spans="2:2" x14ac:dyDescent="0.4">
      <c r="B225"/>
    </row>
    <row r="226" spans="2:2" x14ac:dyDescent="0.4">
      <c r="B226"/>
    </row>
    <row r="227" spans="2:2" x14ac:dyDescent="0.4">
      <c r="B227"/>
    </row>
    <row r="228" spans="2:2" x14ac:dyDescent="0.4">
      <c r="B228"/>
    </row>
    <row r="229" spans="2:2" x14ac:dyDescent="0.4">
      <c r="B229"/>
    </row>
    <row r="230" spans="2:2" x14ac:dyDescent="0.4">
      <c r="B230"/>
    </row>
    <row r="231" spans="2:2" x14ac:dyDescent="0.4">
      <c r="B231"/>
    </row>
    <row r="232" spans="2:2" x14ac:dyDescent="0.4">
      <c r="B232"/>
    </row>
    <row r="233" spans="2:2" x14ac:dyDescent="0.4">
      <c r="B233"/>
    </row>
    <row r="234" spans="2:2" x14ac:dyDescent="0.4">
      <c r="B234"/>
    </row>
    <row r="235" spans="2:2" x14ac:dyDescent="0.4">
      <c r="B235"/>
    </row>
    <row r="236" spans="2:2" x14ac:dyDescent="0.4">
      <c r="B236"/>
    </row>
    <row r="237" spans="2:2" x14ac:dyDescent="0.4">
      <c r="B237"/>
    </row>
    <row r="238" spans="2:2" x14ac:dyDescent="0.4">
      <c r="B238"/>
    </row>
    <row r="239" spans="2:2" x14ac:dyDescent="0.4">
      <c r="B239"/>
    </row>
    <row r="240" spans="2:2" x14ac:dyDescent="0.4">
      <c r="B240"/>
    </row>
    <row r="241" spans="2:2" x14ac:dyDescent="0.4">
      <c r="B241"/>
    </row>
    <row r="242" spans="2:2" x14ac:dyDescent="0.4">
      <c r="B242"/>
    </row>
    <row r="243" spans="2:2" x14ac:dyDescent="0.4">
      <c r="B243"/>
    </row>
    <row r="244" spans="2:2" x14ac:dyDescent="0.4">
      <c r="B244"/>
    </row>
    <row r="245" spans="2:2" x14ac:dyDescent="0.4">
      <c r="B245"/>
    </row>
    <row r="246" spans="2:2" x14ac:dyDescent="0.4">
      <c r="B246"/>
    </row>
    <row r="247" spans="2:2" x14ac:dyDescent="0.4">
      <c r="B247"/>
    </row>
    <row r="248" spans="2:2" x14ac:dyDescent="0.4">
      <c r="B248"/>
    </row>
    <row r="249" spans="2:2" x14ac:dyDescent="0.4">
      <c r="B249"/>
    </row>
    <row r="250" spans="2:2" x14ac:dyDescent="0.4">
      <c r="B250"/>
    </row>
    <row r="251" spans="2:2" x14ac:dyDescent="0.4">
      <c r="B251"/>
    </row>
    <row r="252" spans="2:2" x14ac:dyDescent="0.4">
      <c r="B252"/>
    </row>
    <row r="253" spans="2:2" x14ac:dyDescent="0.4">
      <c r="B253"/>
    </row>
    <row r="254" spans="2:2" x14ac:dyDescent="0.4">
      <c r="B254"/>
    </row>
    <row r="255" spans="2:2" x14ac:dyDescent="0.4">
      <c r="B255"/>
    </row>
    <row r="256" spans="2:2" x14ac:dyDescent="0.4">
      <c r="B256"/>
    </row>
    <row r="257" spans="2:2" x14ac:dyDescent="0.4">
      <c r="B257"/>
    </row>
    <row r="258" spans="2:2" x14ac:dyDescent="0.4">
      <c r="B258"/>
    </row>
    <row r="259" spans="2:2" x14ac:dyDescent="0.4">
      <c r="B259"/>
    </row>
    <row r="260" spans="2:2" x14ac:dyDescent="0.4">
      <c r="B260"/>
    </row>
    <row r="261" spans="2:2" x14ac:dyDescent="0.4">
      <c r="B261"/>
    </row>
    <row r="262" spans="2:2" x14ac:dyDescent="0.4">
      <c r="B262"/>
    </row>
    <row r="263" spans="2:2" x14ac:dyDescent="0.4">
      <c r="B263"/>
    </row>
    <row r="264" spans="2:2" x14ac:dyDescent="0.4">
      <c r="B264"/>
    </row>
    <row r="265" spans="2:2" x14ac:dyDescent="0.4">
      <c r="B265"/>
    </row>
    <row r="266" spans="2:2" x14ac:dyDescent="0.4">
      <c r="B266"/>
    </row>
    <row r="267" spans="2:2" x14ac:dyDescent="0.4">
      <c r="B267"/>
    </row>
    <row r="268" spans="2:2" x14ac:dyDescent="0.4">
      <c r="B268"/>
    </row>
    <row r="269" spans="2:2" x14ac:dyDescent="0.4">
      <c r="B269"/>
    </row>
    <row r="270" spans="2:2" x14ac:dyDescent="0.4">
      <c r="B270"/>
    </row>
    <row r="271" spans="2:2" x14ac:dyDescent="0.4">
      <c r="B271"/>
    </row>
    <row r="272" spans="2:2" x14ac:dyDescent="0.4">
      <c r="B272"/>
    </row>
    <row r="273" spans="2:2" x14ac:dyDescent="0.4">
      <c r="B273"/>
    </row>
    <row r="274" spans="2:2" x14ac:dyDescent="0.4">
      <c r="B274"/>
    </row>
    <row r="275" spans="2:2" x14ac:dyDescent="0.4">
      <c r="B275"/>
    </row>
    <row r="276" spans="2:2" x14ac:dyDescent="0.4">
      <c r="B276"/>
    </row>
    <row r="277" spans="2:2" x14ac:dyDescent="0.4">
      <c r="B277"/>
    </row>
    <row r="278" spans="2:2" x14ac:dyDescent="0.4">
      <c r="B278"/>
    </row>
    <row r="279" spans="2:2" x14ac:dyDescent="0.4">
      <c r="B279"/>
    </row>
    <row r="280" spans="2:2" x14ac:dyDescent="0.4">
      <c r="B280"/>
    </row>
    <row r="281" spans="2:2" x14ac:dyDescent="0.4">
      <c r="B281"/>
    </row>
    <row r="282" spans="2:2" x14ac:dyDescent="0.4">
      <c r="B282"/>
    </row>
    <row r="283" spans="2:2" x14ac:dyDescent="0.4">
      <c r="B283"/>
    </row>
    <row r="284" spans="2:2" x14ac:dyDescent="0.4">
      <c r="B284"/>
    </row>
    <row r="285" spans="2:2" x14ac:dyDescent="0.4">
      <c r="B285"/>
    </row>
    <row r="286" spans="2:2" x14ac:dyDescent="0.4">
      <c r="B286"/>
    </row>
    <row r="287" spans="2:2" x14ac:dyDescent="0.4">
      <c r="B287"/>
    </row>
    <row r="288" spans="2:2" x14ac:dyDescent="0.4">
      <c r="B288"/>
    </row>
    <row r="289" spans="2:2" x14ac:dyDescent="0.4">
      <c r="B289"/>
    </row>
    <row r="290" spans="2:2" x14ac:dyDescent="0.4">
      <c r="B290"/>
    </row>
    <row r="291" spans="2:2" x14ac:dyDescent="0.4">
      <c r="B291"/>
    </row>
    <row r="292" spans="2:2" x14ac:dyDescent="0.4">
      <c r="B292"/>
    </row>
    <row r="293" spans="2:2" x14ac:dyDescent="0.4">
      <c r="B293"/>
    </row>
    <row r="294" spans="2:2" x14ac:dyDescent="0.4">
      <c r="B294"/>
    </row>
    <row r="295" spans="2:2" x14ac:dyDescent="0.4">
      <c r="B295"/>
    </row>
    <row r="296" spans="2:2" x14ac:dyDescent="0.4">
      <c r="B296"/>
    </row>
    <row r="297" spans="2:2" x14ac:dyDescent="0.4">
      <c r="B297"/>
    </row>
    <row r="298" spans="2:2" x14ac:dyDescent="0.4">
      <c r="B298"/>
    </row>
    <row r="299" spans="2:2" x14ac:dyDescent="0.4">
      <c r="B299"/>
    </row>
    <row r="300" spans="2:2" x14ac:dyDescent="0.4">
      <c r="B300"/>
    </row>
    <row r="301" spans="2:2" x14ac:dyDescent="0.4">
      <c r="B301"/>
    </row>
    <row r="302" spans="2:2" x14ac:dyDescent="0.4">
      <c r="B302"/>
    </row>
    <row r="303" spans="2:2" x14ac:dyDescent="0.4">
      <c r="B303"/>
    </row>
    <row r="304" spans="2:2" x14ac:dyDescent="0.4">
      <c r="B304"/>
    </row>
    <row r="305" spans="2:2" x14ac:dyDescent="0.4">
      <c r="B305"/>
    </row>
    <row r="306" spans="2:2" x14ac:dyDescent="0.4">
      <c r="B306"/>
    </row>
    <row r="307" spans="2:2" x14ac:dyDescent="0.4">
      <c r="B307"/>
    </row>
    <row r="308" spans="2:2" x14ac:dyDescent="0.4">
      <c r="B308"/>
    </row>
    <row r="309" spans="2:2" x14ac:dyDescent="0.4">
      <c r="B309"/>
    </row>
    <row r="310" spans="2:2" x14ac:dyDescent="0.4">
      <c r="B310"/>
    </row>
    <row r="311" spans="2:2" x14ac:dyDescent="0.4">
      <c r="B311"/>
    </row>
    <row r="312" spans="2:2" x14ac:dyDescent="0.4">
      <c r="B312"/>
    </row>
    <row r="313" spans="2:2" x14ac:dyDescent="0.4">
      <c r="B313"/>
    </row>
    <row r="314" spans="2:2" x14ac:dyDescent="0.4">
      <c r="B314"/>
    </row>
    <row r="315" spans="2:2" x14ac:dyDescent="0.4">
      <c r="B315"/>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89AD7-F169-4E4E-855B-5BB05ADE5681}">
  <dimension ref="A1:B315"/>
  <sheetViews>
    <sheetView workbookViewId="0">
      <selection activeCell="B4" sqref="B4:B9"/>
    </sheetView>
  </sheetViews>
  <sheetFormatPr defaultRowHeight="19.5" x14ac:dyDescent="0.4"/>
  <cols>
    <col min="1" max="1" width="27.90625" bestFit="1" customWidth="1"/>
    <col min="2" max="2" width="16.1796875" style="8" bestFit="1" customWidth="1"/>
  </cols>
  <sheetData>
    <row r="1" spans="1:2" x14ac:dyDescent="0.4">
      <c r="B1"/>
    </row>
    <row r="3" spans="1:2" x14ac:dyDescent="0.4">
      <c r="A3" s="6" t="s">
        <v>470</v>
      </c>
      <c r="B3" s="9" t="s">
        <v>475</v>
      </c>
    </row>
    <row r="4" spans="1:2" x14ac:dyDescent="0.4">
      <c r="A4" s="7" t="s">
        <v>281</v>
      </c>
      <c r="B4" s="15">
        <v>65806</v>
      </c>
    </row>
    <row r="5" spans="1:2" x14ac:dyDescent="0.4">
      <c r="A5" s="7" t="s">
        <v>7</v>
      </c>
      <c r="B5" s="15">
        <v>68521.206896551725</v>
      </c>
    </row>
    <row r="6" spans="1:2" x14ac:dyDescent="0.4">
      <c r="A6" s="7" t="s">
        <v>40</v>
      </c>
      <c r="B6" s="15">
        <v>74431.024999999994</v>
      </c>
    </row>
    <row r="7" spans="1:2" x14ac:dyDescent="0.4">
      <c r="A7" s="7" t="s">
        <v>224</v>
      </c>
      <c r="B7" s="15">
        <v>83667</v>
      </c>
    </row>
    <row r="8" spans="1:2" x14ac:dyDescent="0.4">
      <c r="A8" s="7" t="s">
        <v>84</v>
      </c>
      <c r="B8" s="15">
        <v>59998.181818181816</v>
      </c>
    </row>
    <row r="9" spans="1:2" x14ac:dyDescent="0.4">
      <c r="A9" s="7" t="s">
        <v>16</v>
      </c>
      <c r="B9" s="15">
        <v>67287.545454545456</v>
      </c>
    </row>
    <row r="10" spans="1:2" x14ac:dyDescent="0.4">
      <c r="A10" s="7" t="s">
        <v>472</v>
      </c>
      <c r="B10" s="9">
        <v>69020.684887459807</v>
      </c>
    </row>
    <row r="11" spans="1:2" x14ac:dyDescent="0.4">
      <c r="B11"/>
    </row>
    <row r="12" spans="1:2" x14ac:dyDescent="0.4">
      <c r="B12"/>
    </row>
    <row r="13" spans="1:2" x14ac:dyDescent="0.4">
      <c r="B13"/>
    </row>
    <row r="14" spans="1:2" x14ac:dyDescent="0.4">
      <c r="B14"/>
    </row>
    <row r="15" spans="1:2" x14ac:dyDescent="0.4">
      <c r="B15"/>
    </row>
    <row r="16" spans="1:2"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row>
    <row r="27" spans="2:2" x14ac:dyDescent="0.4">
      <c r="B27"/>
    </row>
    <row r="28" spans="2:2" x14ac:dyDescent="0.4">
      <c r="B28"/>
    </row>
    <row r="29" spans="2:2" x14ac:dyDescent="0.4">
      <c r="B29"/>
    </row>
    <row r="30" spans="2:2" x14ac:dyDescent="0.4">
      <c r="B30"/>
    </row>
    <row r="31" spans="2:2" x14ac:dyDescent="0.4">
      <c r="B31"/>
    </row>
    <row r="32" spans="2:2"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row>
    <row r="78" spans="2:2" x14ac:dyDescent="0.4">
      <c r="B78"/>
    </row>
    <row r="79" spans="2:2" x14ac:dyDescent="0.4">
      <c r="B79"/>
    </row>
    <row r="80" spans="2:2" x14ac:dyDescent="0.4">
      <c r="B80"/>
    </row>
    <row r="81" spans="2:2" x14ac:dyDescent="0.4">
      <c r="B81"/>
    </row>
    <row r="82" spans="2:2" x14ac:dyDescent="0.4">
      <c r="B82"/>
    </row>
    <row r="83" spans="2:2" x14ac:dyDescent="0.4">
      <c r="B83"/>
    </row>
    <row r="84" spans="2:2" x14ac:dyDescent="0.4">
      <c r="B84"/>
    </row>
    <row r="85" spans="2:2" x14ac:dyDescent="0.4">
      <c r="B85"/>
    </row>
    <row r="86" spans="2:2" x14ac:dyDescent="0.4">
      <c r="B86"/>
    </row>
    <row r="87" spans="2:2" x14ac:dyDescent="0.4">
      <c r="B87"/>
    </row>
    <row r="88" spans="2:2" x14ac:dyDescent="0.4">
      <c r="B88"/>
    </row>
    <row r="89" spans="2:2" x14ac:dyDescent="0.4">
      <c r="B89"/>
    </row>
    <row r="90" spans="2:2" x14ac:dyDescent="0.4">
      <c r="B90"/>
    </row>
    <row r="91" spans="2:2" x14ac:dyDescent="0.4">
      <c r="B91"/>
    </row>
    <row r="92" spans="2:2" x14ac:dyDescent="0.4">
      <c r="B92"/>
    </row>
    <row r="93" spans="2:2" x14ac:dyDescent="0.4">
      <c r="B93"/>
    </row>
    <row r="94" spans="2:2" x14ac:dyDescent="0.4">
      <c r="B94"/>
    </row>
    <row r="95" spans="2:2" x14ac:dyDescent="0.4">
      <c r="B95"/>
    </row>
    <row r="96" spans="2:2" x14ac:dyDescent="0.4">
      <c r="B96"/>
    </row>
    <row r="97" spans="2:2" x14ac:dyDescent="0.4">
      <c r="B97"/>
    </row>
    <row r="98" spans="2:2" x14ac:dyDescent="0.4">
      <c r="B98"/>
    </row>
    <row r="99" spans="2:2" x14ac:dyDescent="0.4">
      <c r="B99"/>
    </row>
    <row r="100" spans="2:2" x14ac:dyDescent="0.4">
      <c r="B100"/>
    </row>
    <row r="101" spans="2:2" x14ac:dyDescent="0.4">
      <c r="B101"/>
    </row>
    <row r="102" spans="2:2" x14ac:dyDescent="0.4">
      <c r="B102"/>
    </row>
    <row r="103" spans="2:2" x14ac:dyDescent="0.4">
      <c r="B103"/>
    </row>
    <row r="104" spans="2:2" x14ac:dyDescent="0.4">
      <c r="B104"/>
    </row>
    <row r="105" spans="2:2" x14ac:dyDescent="0.4">
      <c r="B105"/>
    </row>
    <row r="106" spans="2:2" x14ac:dyDescent="0.4">
      <c r="B106"/>
    </row>
    <row r="107" spans="2:2" x14ac:dyDescent="0.4">
      <c r="B107"/>
    </row>
    <row r="108" spans="2:2" x14ac:dyDescent="0.4">
      <c r="B108"/>
    </row>
    <row r="109" spans="2:2" x14ac:dyDescent="0.4">
      <c r="B109"/>
    </row>
    <row r="110" spans="2:2" x14ac:dyDescent="0.4">
      <c r="B110"/>
    </row>
    <row r="111" spans="2:2" x14ac:dyDescent="0.4">
      <c r="B111"/>
    </row>
    <row r="112" spans="2:2" x14ac:dyDescent="0.4">
      <c r="B112"/>
    </row>
    <row r="113" spans="2:2" x14ac:dyDescent="0.4">
      <c r="B113"/>
    </row>
    <row r="114" spans="2:2" x14ac:dyDescent="0.4">
      <c r="B114"/>
    </row>
    <row r="115" spans="2:2" x14ac:dyDescent="0.4">
      <c r="B115"/>
    </row>
    <row r="116" spans="2:2" x14ac:dyDescent="0.4">
      <c r="B116"/>
    </row>
    <row r="117" spans="2:2" x14ac:dyDescent="0.4">
      <c r="B117"/>
    </row>
    <row r="118" spans="2:2" x14ac:dyDescent="0.4">
      <c r="B118"/>
    </row>
    <row r="119" spans="2:2" x14ac:dyDescent="0.4">
      <c r="B119"/>
    </row>
    <row r="120" spans="2:2" x14ac:dyDescent="0.4">
      <c r="B120"/>
    </row>
    <row r="121" spans="2:2" x14ac:dyDescent="0.4">
      <c r="B121"/>
    </row>
    <row r="122" spans="2:2" x14ac:dyDescent="0.4">
      <c r="B122"/>
    </row>
    <row r="123" spans="2:2" x14ac:dyDescent="0.4">
      <c r="B123"/>
    </row>
    <row r="124" spans="2:2" x14ac:dyDescent="0.4">
      <c r="B124"/>
    </row>
    <row r="125" spans="2:2" x14ac:dyDescent="0.4">
      <c r="B125"/>
    </row>
    <row r="126" spans="2:2" x14ac:dyDescent="0.4">
      <c r="B126"/>
    </row>
    <row r="127" spans="2:2" x14ac:dyDescent="0.4">
      <c r="B127"/>
    </row>
    <row r="128" spans="2:2" x14ac:dyDescent="0.4">
      <c r="B128"/>
    </row>
    <row r="129" spans="2:2" x14ac:dyDescent="0.4">
      <c r="B129"/>
    </row>
    <row r="130" spans="2:2" x14ac:dyDescent="0.4">
      <c r="B130"/>
    </row>
    <row r="131" spans="2:2" x14ac:dyDescent="0.4">
      <c r="B131"/>
    </row>
    <row r="132" spans="2:2" x14ac:dyDescent="0.4">
      <c r="B132"/>
    </row>
    <row r="133" spans="2:2" x14ac:dyDescent="0.4">
      <c r="B133"/>
    </row>
    <row r="134" spans="2:2" x14ac:dyDescent="0.4">
      <c r="B134"/>
    </row>
    <row r="135" spans="2:2" x14ac:dyDescent="0.4">
      <c r="B135"/>
    </row>
    <row r="136" spans="2:2" x14ac:dyDescent="0.4">
      <c r="B136"/>
    </row>
    <row r="137" spans="2:2" x14ac:dyDescent="0.4">
      <c r="B137"/>
    </row>
    <row r="138" spans="2:2" x14ac:dyDescent="0.4">
      <c r="B138"/>
    </row>
    <row r="139" spans="2:2" x14ac:dyDescent="0.4">
      <c r="B139"/>
    </row>
    <row r="140" spans="2:2" x14ac:dyDescent="0.4">
      <c r="B140"/>
    </row>
    <row r="141" spans="2:2" x14ac:dyDescent="0.4">
      <c r="B141"/>
    </row>
    <row r="142" spans="2:2" x14ac:dyDescent="0.4">
      <c r="B142"/>
    </row>
    <row r="143" spans="2:2" x14ac:dyDescent="0.4">
      <c r="B143"/>
    </row>
    <row r="144" spans="2:2" x14ac:dyDescent="0.4">
      <c r="B144"/>
    </row>
    <row r="145" spans="2:2" x14ac:dyDescent="0.4">
      <c r="B145"/>
    </row>
    <row r="146" spans="2:2" x14ac:dyDescent="0.4">
      <c r="B146"/>
    </row>
    <row r="147" spans="2:2" x14ac:dyDescent="0.4">
      <c r="B147"/>
    </row>
    <row r="148" spans="2:2" x14ac:dyDescent="0.4">
      <c r="B148"/>
    </row>
    <row r="149" spans="2:2" x14ac:dyDescent="0.4">
      <c r="B149"/>
    </row>
    <row r="150" spans="2:2" x14ac:dyDescent="0.4">
      <c r="B150"/>
    </row>
    <row r="151" spans="2:2" x14ac:dyDescent="0.4">
      <c r="B151"/>
    </row>
    <row r="152" spans="2:2" x14ac:dyDescent="0.4">
      <c r="B152"/>
    </row>
    <row r="153" spans="2:2" x14ac:dyDescent="0.4">
      <c r="B153"/>
    </row>
    <row r="154" spans="2:2" x14ac:dyDescent="0.4">
      <c r="B154"/>
    </row>
    <row r="155" spans="2:2" x14ac:dyDescent="0.4">
      <c r="B155"/>
    </row>
    <row r="156" spans="2:2" x14ac:dyDescent="0.4">
      <c r="B156"/>
    </row>
    <row r="157" spans="2:2" x14ac:dyDescent="0.4">
      <c r="B157"/>
    </row>
    <row r="158" spans="2:2" x14ac:dyDescent="0.4">
      <c r="B158"/>
    </row>
    <row r="159" spans="2:2" x14ac:dyDescent="0.4">
      <c r="B159"/>
    </row>
    <row r="160" spans="2:2" x14ac:dyDescent="0.4">
      <c r="B160"/>
    </row>
    <row r="161" spans="2:2" x14ac:dyDescent="0.4">
      <c r="B161"/>
    </row>
    <row r="162" spans="2:2" x14ac:dyDescent="0.4">
      <c r="B162"/>
    </row>
    <row r="163" spans="2:2" x14ac:dyDescent="0.4">
      <c r="B163"/>
    </row>
    <row r="164" spans="2:2" x14ac:dyDescent="0.4">
      <c r="B164"/>
    </row>
    <row r="165" spans="2:2" x14ac:dyDescent="0.4">
      <c r="B165"/>
    </row>
    <row r="166" spans="2:2" x14ac:dyDescent="0.4">
      <c r="B166"/>
    </row>
    <row r="167" spans="2:2" x14ac:dyDescent="0.4">
      <c r="B167"/>
    </row>
    <row r="168" spans="2:2" x14ac:dyDescent="0.4">
      <c r="B168"/>
    </row>
    <row r="169" spans="2:2" x14ac:dyDescent="0.4">
      <c r="B169"/>
    </row>
    <row r="170" spans="2:2" x14ac:dyDescent="0.4">
      <c r="B170"/>
    </row>
    <row r="171" spans="2:2" x14ac:dyDescent="0.4">
      <c r="B171"/>
    </row>
    <row r="172" spans="2:2" x14ac:dyDescent="0.4">
      <c r="B172"/>
    </row>
    <row r="173" spans="2:2" x14ac:dyDescent="0.4">
      <c r="B173"/>
    </row>
    <row r="174" spans="2:2" x14ac:dyDescent="0.4">
      <c r="B174"/>
    </row>
    <row r="175" spans="2:2" x14ac:dyDescent="0.4">
      <c r="B175"/>
    </row>
    <row r="176" spans="2:2" x14ac:dyDescent="0.4">
      <c r="B176"/>
    </row>
    <row r="177" spans="2:2" x14ac:dyDescent="0.4">
      <c r="B177"/>
    </row>
    <row r="178" spans="2:2" x14ac:dyDescent="0.4">
      <c r="B178"/>
    </row>
    <row r="179" spans="2:2" x14ac:dyDescent="0.4">
      <c r="B179"/>
    </row>
    <row r="180" spans="2:2" x14ac:dyDescent="0.4">
      <c r="B180"/>
    </row>
    <row r="181" spans="2:2" x14ac:dyDescent="0.4">
      <c r="B181"/>
    </row>
    <row r="182" spans="2:2" x14ac:dyDescent="0.4">
      <c r="B182"/>
    </row>
    <row r="183" spans="2:2" x14ac:dyDescent="0.4">
      <c r="B183"/>
    </row>
    <row r="184" spans="2:2" x14ac:dyDescent="0.4">
      <c r="B184"/>
    </row>
    <row r="185" spans="2:2" x14ac:dyDescent="0.4">
      <c r="B185"/>
    </row>
    <row r="186" spans="2:2" x14ac:dyDescent="0.4">
      <c r="B186"/>
    </row>
    <row r="187" spans="2:2" x14ac:dyDescent="0.4">
      <c r="B187"/>
    </row>
    <row r="188" spans="2:2" x14ac:dyDescent="0.4">
      <c r="B188"/>
    </row>
    <row r="189" spans="2:2" x14ac:dyDescent="0.4">
      <c r="B189"/>
    </row>
    <row r="190" spans="2:2" x14ac:dyDescent="0.4">
      <c r="B190"/>
    </row>
    <row r="191" spans="2:2" x14ac:dyDescent="0.4">
      <c r="B191"/>
    </row>
    <row r="192" spans="2:2" x14ac:dyDescent="0.4">
      <c r="B192"/>
    </row>
    <row r="193" spans="2:2" x14ac:dyDescent="0.4">
      <c r="B193"/>
    </row>
    <row r="194" spans="2:2" x14ac:dyDescent="0.4">
      <c r="B194"/>
    </row>
    <row r="195" spans="2:2" x14ac:dyDescent="0.4">
      <c r="B195"/>
    </row>
    <row r="196" spans="2:2" x14ac:dyDescent="0.4">
      <c r="B196"/>
    </row>
    <row r="197" spans="2:2" x14ac:dyDescent="0.4">
      <c r="B197"/>
    </row>
    <row r="198" spans="2:2" x14ac:dyDescent="0.4">
      <c r="B198"/>
    </row>
    <row r="199" spans="2:2" x14ac:dyDescent="0.4">
      <c r="B199"/>
    </row>
    <row r="200" spans="2:2" x14ac:dyDescent="0.4">
      <c r="B200"/>
    </row>
    <row r="201" spans="2:2" x14ac:dyDescent="0.4">
      <c r="B201"/>
    </row>
    <row r="202" spans="2:2" x14ac:dyDescent="0.4">
      <c r="B202"/>
    </row>
    <row r="203" spans="2:2" x14ac:dyDescent="0.4">
      <c r="B203"/>
    </row>
    <row r="204" spans="2:2" x14ac:dyDescent="0.4">
      <c r="B204"/>
    </row>
    <row r="205" spans="2:2" x14ac:dyDescent="0.4">
      <c r="B205"/>
    </row>
    <row r="206" spans="2:2" x14ac:dyDescent="0.4">
      <c r="B206"/>
    </row>
    <row r="207" spans="2:2" x14ac:dyDescent="0.4">
      <c r="B207"/>
    </row>
    <row r="208" spans="2:2" x14ac:dyDescent="0.4">
      <c r="B208"/>
    </row>
    <row r="209" spans="2:2" x14ac:dyDescent="0.4">
      <c r="B209"/>
    </row>
    <row r="210" spans="2:2" x14ac:dyDescent="0.4">
      <c r="B210"/>
    </row>
    <row r="211" spans="2:2" x14ac:dyDescent="0.4">
      <c r="B211"/>
    </row>
    <row r="212" spans="2:2" x14ac:dyDescent="0.4">
      <c r="B212"/>
    </row>
    <row r="213" spans="2:2" x14ac:dyDescent="0.4">
      <c r="B213"/>
    </row>
    <row r="214" spans="2:2" x14ac:dyDescent="0.4">
      <c r="B214"/>
    </row>
    <row r="215" spans="2:2" x14ac:dyDescent="0.4">
      <c r="B215"/>
    </row>
    <row r="216" spans="2:2" x14ac:dyDescent="0.4">
      <c r="B216"/>
    </row>
    <row r="217" spans="2:2" x14ac:dyDescent="0.4">
      <c r="B217"/>
    </row>
    <row r="218" spans="2:2" x14ac:dyDescent="0.4">
      <c r="B218"/>
    </row>
    <row r="219" spans="2:2" x14ac:dyDescent="0.4">
      <c r="B219"/>
    </row>
    <row r="220" spans="2:2" x14ac:dyDescent="0.4">
      <c r="B220"/>
    </row>
    <row r="221" spans="2:2" x14ac:dyDescent="0.4">
      <c r="B221"/>
    </row>
    <row r="222" spans="2:2" x14ac:dyDescent="0.4">
      <c r="B222"/>
    </row>
    <row r="223" spans="2:2" x14ac:dyDescent="0.4">
      <c r="B223"/>
    </row>
    <row r="224" spans="2:2" x14ac:dyDescent="0.4">
      <c r="B224"/>
    </row>
    <row r="225" spans="2:2" x14ac:dyDescent="0.4">
      <c r="B225"/>
    </row>
    <row r="226" spans="2:2" x14ac:dyDescent="0.4">
      <c r="B226"/>
    </row>
    <row r="227" spans="2:2" x14ac:dyDescent="0.4">
      <c r="B227"/>
    </row>
    <row r="228" spans="2:2" x14ac:dyDescent="0.4">
      <c r="B228"/>
    </row>
    <row r="229" spans="2:2" x14ac:dyDescent="0.4">
      <c r="B229"/>
    </row>
    <row r="230" spans="2:2" x14ac:dyDescent="0.4">
      <c r="B230"/>
    </row>
    <row r="231" spans="2:2" x14ac:dyDescent="0.4">
      <c r="B231"/>
    </row>
    <row r="232" spans="2:2" x14ac:dyDescent="0.4">
      <c r="B232"/>
    </row>
    <row r="233" spans="2:2" x14ac:dyDescent="0.4">
      <c r="B233"/>
    </row>
    <row r="234" spans="2:2" x14ac:dyDescent="0.4">
      <c r="B234"/>
    </row>
    <row r="235" spans="2:2" x14ac:dyDescent="0.4">
      <c r="B235"/>
    </row>
    <row r="236" spans="2:2" x14ac:dyDescent="0.4">
      <c r="B236"/>
    </row>
    <row r="237" spans="2:2" x14ac:dyDescent="0.4">
      <c r="B237"/>
    </row>
    <row r="238" spans="2:2" x14ac:dyDescent="0.4">
      <c r="B238"/>
    </row>
    <row r="239" spans="2:2" x14ac:dyDescent="0.4">
      <c r="B239"/>
    </row>
    <row r="240" spans="2:2" x14ac:dyDescent="0.4">
      <c r="B240"/>
    </row>
    <row r="241" spans="2:2" x14ac:dyDescent="0.4">
      <c r="B241"/>
    </row>
    <row r="242" spans="2:2" x14ac:dyDescent="0.4">
      <c r="B242"/>
    </row>
    <row r="243" spans="2:2" x14ac:dyDescent="0.4">
      <c r="B243"/>
    </row>
    <row r="244" spans="2:2" x14ac:dyDescent="0.4">
      <c r="B244"/>
    </row>
    <row r="245" spans="2:2" x14ac:dyDescent="0.4">
      <c r="B245"/>
    </row>
    <row r="246" spans="2:2" x14ac:dyDescent="0.4">
      <c r="B246"/>
    </row>
    <row r="247" spans="2:2" x14ac:dyDescent="0.4">
      <c r="B247"/>
    </row>
    <row r="248" spans="2:2" x14ac:dyDescent="0.4">
      <c r="B248"/>
    </row>
    <row r="249" spans="2:2" x14ac:dyDescent="0.4">
      <c r="B249"/>
    </row>
    <row r="250" spans="2:2" x14ac:dyDescent="0.4">
      <c r="B250"/>
    </row>
    <row r="251" spans="2:2" x14ac:dyDescent="0.4">
      <c r="B251"/>
    </row>
    <row r="252" spans="2:2" x14ac:dyDescent="0.4">
      <c r="B252"/>
    </row>
    <row r="253" spans="2:2" x14ac:dyDescent="0.4">
      <c r="B253"/>
    </row>
    <row r="254" spans="2:2" x14ac:dyDescent="0.4">
      <c r="B254"/>
    </row>
    <row r="255" spans="2:2" x14ac:dyDescent="0.4">
      <c r="B255"/>
    </row>
    <row r="256" spans="2:2" x14ac:dyDescent="0.4">
      <c r="B256"/>
    </row>
    <row r="257" spans="2:2" x14ac:dyDescent="0.4">
      <c r="B257"/>
    </row>
    <row r="258" spans="2:2" x14ac:dyDescent="0.4">
      <c r="B258"/>
    </row>
    <row r="259" spans="2:2" x14ac:dyDescent="0.4">
      <c r="B259"/>
    </row>
    <row r="260" spans="2:2" x14ac:dyDescent="0.4">
      <c r="B260"/>
    </row>
    <row r="261" spans="2:2" x14ac:dyDescent="0.4">
      <c r="B261"/>
    </row>
    <row r="262" spans="2:2" x14ac:dyDescent="0.4">
      <c r="B262"/>
    </row>
    <row r="263" spans="2:2" x14ac:dyDescent="0.4">
      <c r="B263"/>
    </row>
    <row r="264" spans="2:2" x14ac:dyDescent="0.4">
      <c r="B264"/>
    </row>
    <row r="265" spans="2:2" x14ac:dyDescent="0.4">
      <c r="B265"/>
    </row>
    <row r="266" spans="2:2" x14ac:dyDescent="0.4">
      <c r="B266"/>
    </row>
    <row r="267" spans="2:2" x14ac:dyDescent="0.4">
      <c r="B267"/>
    </row>
    <row r="268" spans="2:2" x14ac:dyDescent="0.4">
      <c r="B268"/>
    </row>
    <row r="269" spans="2:2" x14ac:dyDescent="0.4">
      <c r="B269"/>
    </row>
    <row r="270" spans="2:2" x14ac:dyDescent="0.4">
      <c r="B270"/>
    </row>
    <row r="271" spans="2:2" x14ac:dyDescent="0.4">
      <c r="B271"/>
    </row>
    <row r="272" spans="2:2" x14ac:dyDescent="0.4">
      <c r="B272"/>
    </row>
    <row r="273" spans="2:2" x14ac:dyDescent="0.4">
      <c r="B273"/>
    </row>
    <row r="274" spans="2:2" x14ac:dyDescent="0.4">
      <c r="B274"/>
    </row>
    <row r="275" spans="2:2" x14ac:dyDescent="0.4">
      <c r="B275"/>
    </row>
    <row r="276" spans="2:2" x14ac:dyDescent="0.4">
      <c r="B276"/>
    </row>
    <row r="277" spans="2:2" x14ac:dyDescent="0.4">
      <c r="B277"/>
    </row>
    <row r="278" spans="2:2" x14ac:dyDescent="0.4">
      <c r="B278"/>
    </row>
    <row r="279" spans="2:2" x14ac:dyDescent="0.4">
      <c r="B279"/>
    </row>
    <row r="280" spans="2:2" x14ac:dyDescent="0.4">
      <c r="B280"/>
    </row>
    <row r="281" spans="2:2" x14ac:dyDescent="0.4">
      <c r="B281"/>
    </row>
    <row r="282" spans="2:2" x14ac:dyDescent="0.4">
      <c r="B282"/>
    </row>
    <row r="283" spans="2:2" x14ac:dyDescent="0.4">
      <c r="B283"/>
    </row>
    <row r="284" spans="2:2" x14ac:dyDescent="0.4">
      <c r="B284"/>
    </row>
    <row r="285" spans="2:2" x14ac:dyDescent="0.4">
      <c r="B285"/>
    </row>
    <row r="286" spans="2:2" x14ac:dyDescent="0.4">
      <c r="B286"/>
    </row>
    <row r="287" spans="2:2" x14ac:dyDescent="0.4">
      <c r="B287"/>
    </row>
    <row r="288" spans="2:2" x14ac:dyDescent="0.4">
      <c r="B288"/>
    </row>
    <row r="289" spans="2:2" x14ac:dyDescent="0.4">
      <c r="B289"/>
    </row>
    <row r="290" spans="2:2" x14ac:dyDescent="0.4">
      <c r="B290"/>
    </row>
    <row r="291" spans="2:2" x14ac:dyDescent="0.4">
      <c r="B291"/>
    </row>
    <row r="292" spans="2:2" x14ac:dyDescent="0.4">
      <c r="B292"/>
    </row>
    <row r="293" spans="2:2" x14ac:dyDescent="0.4">
      <c r="B293"/>
    </row>
    <row r="294" spans="2:2" x14ac:dyDescent="0.4">
      <c r="B294"/>
    </row>
    <row r="295" spans="2:2" x14ac:dyDescent="0.4">
      <c r="B295"/>
    </row>
    <row r="296" spans="2:2" x14ac:dyDescent="0.4">
      <c r="B296"/>
    </row>
    <row r="297" spans="2:2" x14ac:dyDescent="0.4">
      <c r="B297"/>
    </row>
    <row r="298" spans="2:2" x14ac:dyDescent="0.4">
      <c r="B298"/>
    </row>
    <row r="299" spans="2:2" x14ac:dyDescent="0.4">
      <c r="B299"/>
    </row>
    <row r="300" spans="2:2" x14ac:dyDescent="0.4">
      <c r="B300"/>
    </row>
    <row r="301" spans="2:2" x14ac:dyDescent="0.4">
      <c r="B301"/>
    </row>
    <row r="302" spans="2:2" x14ac:dyDescent="0.4">
      <c r="B302"/>
    </row>
    <row r="303" spans="2:2" x14ac:dyDescent="0.4">
      <c r="B303"/>
    </row>
    <row r="304" spans="2:2" x14ac:dyDescent="0.4">
      <c r="B304"/>
    </row>
    <row r="305" spans="2:2" x14ac:dyDescent="0.4">
      <c r="B305"/>
    </row>
    <row r="306" spans="2:2" x14ac:dyDescent="0.4">
      <c r="B306"/>
    </row>
    <row r="307" spans="2:2" x14ac:dyDescent="0.4">
      <c r="B307"/>
    </row>
    <row r="308" spans="2:2" x14ac:dyDescent="0.4">
      <c r="B308"/>
    </row>
    <row r="309" spans="2:2" x14ac:dyDescent="0.4">
      <c r="B309"/>
    </row>
    <row r="310" spans="2:2" x14ac:dyDescent="0.4">
      <c r="B310"/>
    </row>
    <row r="311" spans="2:2" x14ac:dyDescent="0.4">
      <c r="B311"/>
    </row>
    <row r="312" spans="2:2" x14ac:dyDescent="0.4">
      <c r="B312"/>
    </row>
    <row r="313" spans="2:2" x14ac:dyDescent="0.4">
      <c r="B313"/>
    </row>
    <row r="314" spans="2:2" x14ac:dyDescent="0.4">
      <c r="B314"/>
    </row>
    <row r="315" spans="2:2" x14ac:dyDescent="0.4">
      <c r="B315"/>
    </row>
  </sheetData>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1A99-B481-405E-A7CC-A43C4D6A7082}">
  <dimension ref="A1:B315"/>
  <sheetViews>
    <sheetView workbookViewId="0">
      <selection activeCell="B4" sqref="B4:B13"/>
    </sheetView>
  </sheetViews>
  <sheetFormatPr defaultRowHeight="19.5" x14ac:dyDescent="0.4"/>
  <cols>
    <col min="1" max="1" width="14.6328125" bestFit="1" customWidth="1"/>
    <col min="2" max="2" width="12.90625" style="8" bestFit="1" customWidth="1"/>
  </cols>
  <sheetData>
    <row r="1" spans="1:2" x14ac:dyDescent="0.4">
      <c r="B1"/>
    </row>
    <row r="3" spans="1:2" x14ac:dyDescent="0.4">
      <c r="A3" s="6" t="s">
        <v>471</v>
      </c>
      <c r="B3" s="9" t="s">
        <v>474</v>
      </c>
    </row>
    <row r="4" spans="1:2" x14ac:dyDescent="0.4">
      <c r="A4" s="7" t="s">
        <v>358</v>
      </c>
      <c r="B4" s="15">
        <v>138888</v>
      </c>
    </row>
    <row r="5" spans="1:2" x14ac:dyDescent="0.4">
      <c r="A5" s="7" t="s">
        <v>157</v>
      </c>
      <c r="B5" s="15">
        <v>140920</v>
      </c>
    </row>
    <row r="6" spans="1:2" x14ac:dyDescent="0.4">
      <c r="A6" s="7" t="s">
        <v>156</v>
      </c>
      <c r="B6" s="15">
        <v>148999</v>
      </c>
    </row>
    <row r="7" spans="1:2" x14ac:dyDescent="0.4">
      <c r="A7" s="7" t="s">
        <v>161</v>
      </c>
      <c r="B7" s="15">
        <v>150290</v>
      </c>
    </row>
    <row r="8" spans="1:2" x14ac:dyDescent="0.4">
      <c r="A8" s="7" t="s">
        <v>221</v>
      </c>
      <c r="B8" s="15">
        <v>157000</v>
      </c>
    </row>
    <row r="9" spans="1:2" x14ac:dyDescent="0.4">
      <c r="A9" s="7" t="s">
        <v>383</v>
      </c>
      <c r="B9" s="15">
        <v>170500</v>
      </c>
    </row>
    <row r="10" spans="1:2" x14ac:dyDescent="0.4">
      <c r="A10" s="7" t="s">
        <v>335</v>
      </c>
      <c r="B10" s="15">
        <v>178000</v>
      </c>
    </row>
    <row r="11" spans="1:2" x14ac:dyDescent="0.4">
      <c r="A11" s="7" t="s">
        <v>294</v>
      </c>
      <c r="B11" s="15">
        <v>180000</v>
      </c>
    </row>
    <row r="12" spans="1:2" x14ac:dyDescent="0.4">
      <c r="A12" s="7" t="s">
        <v>23</v>
      </c>
      <c r="B12" s="15">
        <v>220450</v>
      </c>
    </row>
    <row r="13" spans="1:2" x14ac:dyDescent="0.4">
      <c r="A13" s="7" t="s">
        <v>270</v>
      </c>
      <c r="B13" s="15">
        <v>250000</v>
      </c>
    </row>
    <row r="14" spans="1:2" x14ac:dyDescent="0.4">
      <c r="A14" s="7" t="s">
        <v>472</v>
      </c>
      <c r="B14" s="9">
        <v>250000</v>
      </c>
    </row>
    <row r="15" spans="1:2" x14ac:dyDescent="0.4">
      <c r="B15"/>
    </row>
    <row r="16" spans="1:2" x14ac:dyDescent="0.4">
      <c r="B16"/>
    </row>
    <row r="17" spans="2:2" x14ac:dyDescent="0.4">
      <c r="B17"/>
    </row>
    <row r="18" spans="2:2" x14ac:dyDescent="0.4">
      <c r="B18"/>
    </row>
    <row r="19" spans="2:2" x14ac:dyDescent="0.4">
      <c r="B19"/>
    </row>
    <row r="20" spans="2:2" x14ac:dyDescent="0.4">
      <c r="B20"/>
    </row>
    <row r="21" spans="2:2" x14ac:dyDescent="0.4">
      <c r="B21"/>
    </row>
    <row r="22" spans="2:2" x14ac:dyDescent="0.4">
      <c r="B22"/>
    </row>
    <row r="23" spans="2:2" x14ac:dyDescent="0.4">
      <c r="B23"/>
    </row>
    <row r="24" spans="2:2" x14ac:dyDescent="0.4">
      <c r="B24"/>
    </row>
    <row r="25" spans="2:2" x14ac:dyDescent="0.4">
      <c r="B25"/>
    </row>
    <row r="26" spans="2:2" x14ac:dyDescent="0.4">
      <c r="B26"/>
    </row>
    <row r="27" spans="2:2" x14ac:dyDescent="0.4">
      <c r="B27"/>
    </row>
    <row r="28" spans="2:2" x14ac:dyDescent="0.4">
      <c r="B28"/>
    </row>
    <row r="29" spans="2:2" x14ac:dyDescent="0.4">
      <c r="B29"/>
    </row>
    <row r="30" spans="2:2" x14ac:dyDescent="0.4">
      <c r="B30"/>
    </row>
    <row r="31" spans="2:2" x14ac:dyDescent="0.4">
      <c r="B31"/>
    </row>
    <row r="32" spans="2:2" x14ac:dyDescent="0.4">
      <c r="B32"/>
    </row>
    <row r="33" spans="2:2" x14ac:dyDescent="0.4">
      <c r="B33"/>
    </row>
    <row r="34" spans="2:2" x14ac:dyDescent="0.4">
      <c r="B34"/>
    </row>
    <row r="35" spans="2:2" x14ac:dyDescent="0.4">
      <c r="B35"/>
    </row>
    <row r="36" spans="2:2" x14ac:dyDescent="0.4">
      <c r="B36"/>
    </row>
    <row r="37" spans="2:2" x14ac:dyDescent="0.4">
      <c r="B37"/>
    </row>
    <row r="38" spans="2:2" x14ac:dyDescent="0.4">
      <c r="B38"/>
    </row>
    <row r="39" spans="2:2" x14ac:dyDescent="0.4">
      <c r="B39"/>
    </row>
    <row r="40" spans="2:2" x14ac:dyDescent="0.4">
      <c r="B40"/>
    </row>
    <row r="41" spans="2:2" x14ac:dyDescent="0.4">
      <c r="B41"/>
    </row>
    <row r="42" spans="2:2" x14ac:dyDescent="0.4">
      <c r="B42"/>
    </row>
    <row r="43" spans="2:2" x14ac:dyDescent="0.4">
      <c r="B43"/>
    </row>
    <row r="44" spans="2:2" x14ac:dyDescent="0.4">
      <c r="B44"/>
    </row>
    <row r="45" spans="2:2" x14ac:dyDescent="0.4">
      <c r="B45"/>
    </row>
    <row r="46" spans="2:2" x14ac:dyDescent="0.4">
      <c r="B46"/>
    </row>
    <row r="47" spans="2:2" x14ac:dyDescent="0.4">
      <c r="B47"/>
    </row>
    <row r="48" spans="2:2" x14ac:dyDescent="0.4">
      <c r="B48"/>
    </row>
    <row r="49" spans="2:2" x14ac:dyDescent="0.4">
      <c r="B49"/>
    </row>
    <row r="50" spans="2:2" x14ac:dyDescent="0.4">
      <c r="B50"/>
    </row>
    <row r="51" spans="2:2" x14ac:dyDescent="0.4">
      <c r="B51"/>
    </row>
    <row r="52" spans="2:2" x14ac:dyDescent="0.4">
      <c r="B52"/>
    </row>
    <row r="53" spans="2:2" x14ac:dyDescent="0.4">
      <c r="B53"/>
    </row>
    <row r="54" spans="2:2" x14ac:dyDescent="0.4">
      <c r="B54"/>
    </row>
    <row r="55" spans="2:2" x14ac:dyDescent="0.4">
      <c r="B55"/>
    </row>
    <row r="56" spans="2:2" x14ac:dyDescent="0.4">
      <c r="B56"/>
    </row>
    <row r="57" spans="2:2" x14ac:dyDescent="0.4">
      <c r="B57"/>
    </row>
    <row r="58" spans="2:2" x14ac:dyDescent="0.4">
      <c r="B58"/>
    </row>
    <row r="59" spans="2:2" x14ac:dyDescent="0.4">
      <c r="B59"/>
    </row>
    <row r="60" spans="2:2" x14ac:dyDescent="0.4">
      <c r="B60"/>
    </row>
    <row r="61" spans="2:2" x14ac:dyDescent="0.4">
      <c r="B61"/>
    </row>
    <row r="62" spans="2:2" x14ac:dyDescent="0.4">
      <c r="B62"/>
    </row>
    <row r="63" spans="2:2" x14ac:dyDescent="0.4">
      <c r="B63"/>
    </row>
    <row r="64" spans="2:2" x14ac:dyDescent="0.4">
      <c r="B64"/>
    </row>
    <row r="65" spans="2:2" x14ac:dyDescent="0.4">
      <c r="B65"/>
    </row>
    <row r="66" spans="2:2" x14ac:dyDescent="0.4">
      <c r="B66"/>
    </row>
    <row r="67" spans="2:2" x14ac:dyDescent="0.4">
      <c r="B67"/>
    </row>
    <row r="68" spans="2:2" x14ac:dyDescent="0.4">
      <c r="B68"/>
    </row>
    <row r="69" spans="2:2" x14ac:dyDescent="0.4">
      <c r="B69"/>
    </row>
    <row r="70" spans="2:2" x14ac:dyDescent="0.4">
      <c r="B70"/>
    </row>
    <row r="71" spans="2:2" x14ac:dyDescent="0.4">
      <c r="B71"/>
    </row>
    <row r="72" spans="2:2" x14ac:dyDescent="0.4">
      <c r="B72"/>
    </row>
    <row r="73" spans="2:2" x14ac:dyDescent="0.4">
      <c r="B73"/>
    </row>
    <row r="74" spans="2:2" x14ac:dyDescent="0.4">
      <c r="B74"/>
    </row>
    <row r="75" spans="2:2" x14ac:dyDescent="0.4">
      <c r="B75"/>
    </row>
    <row r="76" spans="2:2" x14ac:dyDescent="0.4">
      <c r="B76"/>
    </row>
    <row r="77" spans="2:2" x14ac:dyDescent="0.4">
      <c r="B77"/>
    </row>
    <row r="78" spans="2:2" x14ac:dyDescent="0.4">
      <c r="B78"/>
    </row>
    <row r="79" spans="2:2" x14ac:dyDescent="0.4">
      <c r="B79"/>
    </row>
    <row r="80" spans="2:2" x14ac:dyDescent="0.4">
      <c r="B80"/>
    </row>
    <row r="81" spans="2:2" x14ac:dyDescent="0.4">
      <c r="B81"/>
    </row>
    <row r="82" spans="2:2" x14ac:dyDescent="0.4">
      <c r="B82"/>
    </row>
    <row r="83" spans="2:2" x14ac:dyDescent="0.4">
      <c r="B83"/>
    </row>
    <row r="84" spans="2:2" x14ac:dyDescent="0.4">
      <c r="B84"/>
    </row>
    <row r="85" spans="2:2" x14ac:dyDescent="0.4">
      <c r="B85"/>
    </row>
    <row r="86" spans="2:2" x14ac:dyDescent="0.4">
      <c r="B86"/>
    </row>
    <row r="87" spans="2:2" x14ac:dyDescent="0.4">
      <c r="B87"/>
    </row>
    <row r="88" spans="2:2" x14ac:dyDescent="0.4">
      <c r="B88"/>
    </row>
    <row r="89" spans="2:2" x14ac:dyDescent="0.4">
      <c r="B89"/>
    </row>
    <row r="90" spans="2:2" x14ac:dyDescent="0.4">
      <c r="B90"/>
    </row>
    <row r="91" spans="2:2" x14ac:dyDescent="0.4">
      <c r="B91"/>
    </row>
    <row r="92" spans="2:2" x14ac:dyDescent="0.4">
      <c r="B92"/>
    </row>
    <row r="93" spans="2:2" x14ac:dyDescent="0.4">
      <c r="B93"/>
    </row>
    <row r="94" spans="2:2" x14ac:dyDescent="0.4">
      <c r="B94"/>
    </row>
    <row r="95" spans="2:2" x14ac:dyDescent="0.4">
      <c r="B95"/>
    </row>
    <row r="96" spans="2:2" x14ac:dyDescent="0.4">
      <c r="B96"/>
    </row>
    <row r="97" spans="2:2" x14ac:dyDescent="0.4">
      <c r="B97"/>
    </row>
    <row r="98" spans="2:2" x14ac:dyDescent="0.4">
      <c r="B98"/>
    </row>
    <row r="99" spans="2:2" x14ac:dyDescent="0.4">
      <c r="B99"/>
    </row>
    <row r="100" spans="2:2" x14ac:dyDescent="0.4">
      <c r="B100"/>
    </row>
    <row r="101" spans="2:2" x14ac:dyDescent="0.4">
      <c r="B101"/>
    </row>
    <row r="102" spans="2:2" x14ac:dyDescent="0.4">
      <c r="B102"/>
    </row>
    <row r="103" spans="2:2" x14ac:dyDescent="0.4">
      <c r="B103"/>
    </row>
    <row r="104" spans="2:2" x14ac:dyDescent="0.4">
      <c r="B104"/>
    </row>
    <row r="105" spans="2:2" x14ac:dyDescent="0.4">
      <c r="B105"/>
    </row>
    <row r="106" spans="2:2" x14ac:dyDescent="0.4">
      <c r="B106"/>
    </row>
    <row r="107" spans="2:2" x14ac:dyDescent="0.4">
      <c r="B107"/>
    </row>
    <row r="108" spans="2:2" x14ac:dyDescent="0.4">
      <c r="B108"/>
    </row>
    <row r="109" spans="2:2" x14ac:dyDescent="0.4">
      <c r="B109"/>
    </row>
    <row r="110" spans="2:2" x14ac:dyDescent="0.4">
      <c r="B110"/>
    </row>
    <row r="111" spans="2:2" x14ac:dyDescent="0.4">
      <c r="B111"/>
    </row>
    <row r="112" spans="2:2" x14ac:dyDescent="0.4">
      <c r="B112"/>
    </row>
    <row r="113" spans="2:2" x14ac:dyDescent="0.4">
      <c r="B113"/>
    </row>
    <row r="114" spans="2:2" x14ac:dyDescent="0.4">
      <c r="B114"/>
    </row>
    <row r="115" spans="2:2" x14ac:dyDescent="0.4">
      <c r="B115"/>
    </row>
    <row r="116" spans="2:2" x14ac:dyDescent="0.4">
      <c r="B116"/>
    </row>
    <row r="117" spans="2:2" x14ac:dyDescent="0.4">
      <c r="B117"/>
    </row>
    <row r="118" spans="2:2" x14ac:dyDescent="0.4">
      <c r="B118"/>
    </row>
    <row r="119" spans="2:2" x14ac:dyDescent="0.4">
      <c r="B119"/>
    </row>
    <row r="120" spans="2:2" x14ac:dyDescent="0.4">
      <c r="B120"/>
    </row>
    <row r="121" spans="2:2" x14ac:dyDescent="0.4">
      <c r="B121"/>
    </row>
    <row r="122" spans="2:2" x14ac:dyDescent="0.4">
      <c r="B122"/>
    </row>
    <row r="123" spans="2:2" x14ac:dyDescent="0.4">
      <c r="B123"/>
    </row>
    <row r="124" spans="2:2" x14ac:dyDescent="0.4">
      <c r="B124"/>
    </row>
    <row r="125" spans="2:2" x14ac:dyDescent="0.4">
      <c r="B125"/>
    </row>
    <row r="126" spans="2:2" x14ac:dyDescent="0.4">
      <c r="B126"/>
    </row>
    <row r="127" spans="2:2" x14ac:dyDescent="0.4">
      <c r="B127"/>
    </row>
    <row r="128" spans="2:2" x14ac:dyDescent="0.4">
      <c r="B128"/>
    </row>
    <row r="129" spans="2:2" x14ac:dyDescent="0.4">
      <c r="B129"/>
    </row>
    <row r="130" spans="2:2" x14ac:dyDescent="0.4">
      <c r="B130"/>
    </row>
    <row r="131" spans="2:2" x14ac:dyDescent="0.4">
      <c r="B131"/>
    </row>
    <row r="132" spans="2:2" x14ac:dyDescent="0.4">
      <c r="B132"/>
    </row>
    <row r="133" spans="2:2" x14ac:dyDescent="0.4">
      <c r="B133"/>
    </row>
    <row r="134" spans="2:2" x14ac:dyDescent="0.4">
      <c r="B134"/>
    </row>
    <row r="135" spans="2:2" x14ac:dyDescent="0.4">
      <c r="B135"/>
    </row>
    <row r="136" spans="2:2" x14ac:dyDescent="0.4">
      <c r="B136"/>
    </row>
    <row r="137" spans="2:2" x14ac:dyDescent="0.4">
      <c r="B137"/>
    </row>
    <row r="138" spans="2:2" x14ac:dyDescent="0.4">
      <c r="B138"/>
    </row>
    <row r="139" spans="2:2" x14ac:dyDescent="0.4">
      <c r="B139"/>
    </row>
    <row r="140" spans="2:2" x14ac:dyDescent="0.4">
      <c r="B140"/>
    </row>
    <row r="141" spans="2:2" x14ac:dyDescent="0.4">
      <c r="B141"/>
    </row>
    <row r="142" spans="2:2" x14ac:dyDescent="0.4">
      <c r="B142"/>
    </row>
    <row r="143" spans="2:2" x14ac:dyDescent="0.4">
      <c r="B143"/>
    </row>
    <row r="144" spans="2:2" x14ac:dyDescent="0.4">
      <c r="B144"/>
    </row>
    <row r="145" spans="2:2" x14ac:dyDescent="0.4">
      <c r="B145"/>
    </row>
    <row r="146" spans="2:2" x14ac:dyDescent="0.4">
      <c r="B146"/>
    </row>
    <row r="147" spans="2:2" x14ac:dyDescent="0.4">
      <c r="B147"/>
    </row>
    <row r="148" spans="2:2" x14ac:dyDescent="0.4">
      <c r="B148"/>
    </row>
    <row r="149" spans="2:2" x14ac:dyDescent="0.4">
      <c r="B149"/>
    </row>
    <row r="150" spans="2:2" x14ac:dyDescent="0.4">
      <c r="B150"/>
    </row>
    <row r="151" spans="2:2" x14ac:dyDescent="0.4">
      <c r="B151"/>
    </row>
    <row r="152" spans="2:2" x14ac:dyDescent="0.4">
      <c r="B152"/>
    </row>
    <row r="153" spans="2:2" x14ac:dyDescent="0.4">
      <c r="B153"/>
    </row>
    <row r="154" spans="2:2" x14ac:dyDescent="0.4">
      <c r="B154"/>
    </row>
    <row r="155" spans="2:2" x14ac:dyDescent="0.4">
      <c r="B155"/>
    </row>
    <row r="156" spans="2:2" x14ac:dyDescent="0.4">
      <c r="B156"/>
    </row>
    <row r="157" spans="2:2" x14ac:dyDescent="0.4">
      <c r="B157"/>
    </row>
    <row r="158" spans="2:2" x14ac:dyDescent="0.4">
      <c r="B158"/>
    </row>
    <row r="159" spans="2:2" x14ac:dyDescent="0.4">
      <c r="B159"/>
    </row>
    <row r="160" spans="2:2" x14ac:dyDescent="0.4">
      <c r="B160"/>
    </row>
    <row r="161" spans="2:2" x14ac:dyDescent="0.4">
      <c r="B161"/>
    </row>
    <row r="162" spans="2:2" x14ac:dyDescent="0.4">
      <c r="B162"/>
    </row>
    <row r="163" spans="2:2" x14ac:dyDescent="0.4">
      <c r="B163"/>
    </row>
    <row r="164" spans="2:2" x14ac:dyDescent="0.4">
      <c r="B164"/>
    </row>
    <row r="165" spans="2:2" x14ac:dyDescent="0.4">
      <c r="B165"/>
    </row>
    <row r="166" spans="2:2" x14ac:dyDescent="0.4">
      <c r="B166"/>
    </row>
    <row r="167" spans="2:2" x14ac:dyDescent="0.4">
      <c r="B167"/>
    </row>
    <row r="168" spans="2:2" x14ac:dyDescent="0.4">
      <c r="B168"/>
    </row>
    <row r="169" spans="2:2" x14ac:dyDescent="0.4">
      <c r="B169"/>
    </row>
    <row r="170" spans="2:2" x14ac:dyDescent="0.4">
      <c r="B170"/>
    </row>
    <row r="171" spans="2:2" x14ac:dyDescent="0.4">
      <c r="B171"/>
    </row>
    <row r="172" spans="2:2" x14ac:dyDescent="0.4">
      <c r="B172"/>
    </row>
    <row r="173" spans="2:2" x14ac:dyDescent="0.4">
      <c r="B173"/>
    </row>
    <row r="174" spans="2:2" x14ac:dyDescent="0.4">
      <c r="B174"/>
    </row>
    <row r="175" spans="2:2" x14ac:dyDescent="0.4">
      <c r="B175"/>
    </row>
    <row r="176" spans="2:2" x14ac:dyDescent="0.4">
      <c r="B176"/>
    </row>
    <row r="177" spans="2:2" x14ac:dyDescent="0.4">
      <c r="B177"/>
    </row>
    <row r="178" spans="2:2" x14ac:dyDescent="0.4">
      <c r="B178"/>
    </row>
    <row r="179" spans="2:2" x14ac:dyDescent="0.4">
      <c r="B179"/>
    </row>
    <row r="180" spans="2:2" x14ac:dyDescent="0.4">
      <c r="B180"/>
    </row>
    <row r="181" spans="2:2" x14ac:dyDescent="0.4">
      <c r="B181"/>
    </row>
    <row r="182" spans="2:2" x14ac:dyDescent="0.4">
      <c r="B182"/>
    </row>
    <row r="183" spans="2:2" x14ac:dyDescent="0.4">
      <c r="B183"/>
    </row>
    <row r="184" spans="2:2" x14ac:dyDescent="0.4">
      <c r="B184"/>
    </row>
    <row r="185" spans="2:2" x14ac:dyDescent="0.4">
      <c r="B185"/>
    </row>
    <row r="186" spans="2:2" x14ac:dyDescent="0.4">
      <c r="B186"/>
    </row>
    <row r="187" spans="2:2" x14ac:dyDescent="0.4">
      <c r="B187"/>
    </row>
    <row r="188" spans="2:2" x14ac:dyDescent="0.4">
      <c r="B188"/>
    </row>
    <row r="189" spans="2:2" x14ac:dyDescent="0.4">
      <c r="B189"/>
    </row>
    <row r="190" spans="2:2" x14ac:dyDescent="0.4">
      <c r="B190"/>
    </row>
    <row r="191" spans="2:2" x14ac:dyDescent="0.4">
      <c r="B191"/>
    </row>
    <row r="192" spans="2:2" x14ac:dyDescent="0.4">
      <c r="B192"/>
    </row>
    <row r="193" spans="2:2" x14ac:dyDescent="0.4">
      <c r="B193"/>
    </row>
    <row r="194" spans="2:2" x14ac:dyDescent="0.4">
      <c r="B194"/>
    </row>
    <row r="195" spans="2:2" x14ac:dyDescent="0.4">
      <c r="B195"/>
    </row>
    <row r="196" spans="2:2" x14ac:dyDescent="0.4">
      <c r="B196"/>
    </row>
    <row r="197" spans="2:2" x14ac:dyDescent="0.4">
      <c r="B197"/>
    </row>
    <row r="198" spans="2:2" x14ac:dyDescent="0.4">
      <c r="B198"/>
    </row>
    <row r="199" spans="2:2" x14ac:dyDescent="0.4">
      <c r="B199"/>
    </row>
    <row r="200" spans="2:2" x14ac:dyDescent="0.4">
      <c r="B200"/>
    </row>
    <row r="201" spans="2:2" x14ac:dyDescent="0.4">
      <c r="B201"/>
    </row>
    <row r="202" spans="2:2" x14ac:dyDescent="0.4">
      <c r="B202"/>
    </row>
    <row r="203" spans="2:2" x14ac:dyDescent="0.4">
      <c r="B203"/>
    </row>
    <row r="204" spans="2:2" x14ac:dyDescent="0.4">
      <c r="B204"/>
    </row>
    <row r="205" spans="2:2" x14ac:dyDescent="0.4">
      <c r="B205"/>
    </row>
    <row r="206" spans="2:2" x14ac:dyDescent="0.4">
      <c r="B206"/>
    </row>
    <row r="207" spans="2:2" x14ac:dyDescent="0.4">
      <c r="B207"/>
    </row>
    <row r="208" spans="2:2" x14ac:dyDescent="0.4">
      <c r="B208"/>
    </row>
    <row r="209" spans="2:2" x14ac:dyDescent="0.4">
      <c r="B209"/>
    </row>
    <row r="210" spans="2:2" x14ac:dyDescent="0.4">
      <c r="B210"/>
    </row>
    <row r="211" spans="2:2" x14ac:dyDescent="0.4">
      <c r="B211"/>
    </row>
    <row r="212" spans="2:2" x14ac:dyDescent="0.4">
      <c r="B212"/>
    </row>
    <row r="213" spans="2:2" x14ac:dyDescent="0.4">
      <c r="B213"/>
    </row>
    <row r="214" spans="2:2" x14ac:dyDescent="0.4">
      <c r="B214"/>
    </row>
    <row r="215" spans="2:2" x14ac:dyDescent="0.4">
      <c r="B215"/>
    </row>
    <row r="216" spans="2:2" x14ac:dyDescent="0.4">
      <c r="B216"/>
    </row>
    <row r="217" spans="2:2" x14ac:dyDescent="0.4">
      <c r="B217"/>
    </row>
    <row r="218" spans="2:2" x14ac:dyDescent="0.4">
      <c r="B218"/>
    </row>
    <row r="219" spans="2:2" x14ac:dyDescent="0.4">
      <c r="B219"/>
    </row>
    <row r="220" spans="2:2" x14ac:dyDescent="0.4">
      <c r="B220"/>
    </row>
    <row r="221" spans="2:2" x14ac:dyDescent="0.4">
      <c r="B221"/>
    </row>
    <row r="222" spans="2:2" x14ac:dyDescent="0.4">
      <c r="B222"/>
    </row>
    <row r="223" spans="2:2" x14ac:dyDescent="0.4">
      <c r="B223"/>
    </row>
    <row r="224" spans="2:2" x14ac:dyDescent="0.4">
      <c r="B224"/>
    </row>
    <row r="225" spans="2:2" x14ac:dyDescent="0.4">
      <c r="B225"/>
    </row>
    <row r="226" spans="2:2" x14ac:dyDescent="0.4">
      <c r="B226"/>
    </row>
    <row r="227" spans="2:2" x14ac:dyDescent="0.4">
      <c r="B227"/>
    </row>
    <row r="228" spans="2:2" x14ac:dyDescent="0.4">
      <c r="B228"/>
    </row>
    <row r="229" spans="2:2" x14ac:dyDescent="0.4">
      <c r="B229"/>
    </row>
    <row r="230" spans="2:2" x14ac:dyDescent="0.4">
      <c r="B230"/>
    </row>
    <row r="231" spans="2:2" x14ac:dyDescent="0.4">
      <c r="B231"/>
    </row>
    <row r="232" spans="2:2" x14ac:dyDescent="0.4">
      <c r="B232"/>
    </row>
    <row r="233" spans="2:2" x14ac:dyDescent="0.4">
      <c r="B233"/>
    </row>
    <row r="234" spans="2:2" x14ac:dyDescent="0.4">
      <c r="B234"/>
    </row>
    <row r="235" spans="2:2" x14ac:dyDescent="0.4">
      <c r="B235"/>
    </row>
    <row r="236" spans="2:2" x14ac:dyDescent="0.4">
      <c r="B236"/>
    </row>
    <row r="237" spans="2:2" x14ac:dyDescent="0.4">
      <c r="B237"/>
    </row>
    <row r="238" spans="2:2" x14ac:dyDescent="0.4">
      <c r="B238"/>
    </row>
    <row r="239" spans="2:2" x14ac:dyDescent="0.4">
      <c r="B239"/>
    </row>
    <row r="240" spans="2:2" x14ac:dyDescent="0.4">
      <c r="B240"/>
    </row>
    <row r="241" spans="2:2" x14ac:dyDescent="0.4">
      <c r="B241"/>
    </row>
    <row r="242" spans="2:2" x14ac:dyDescent="0.4">
      <c r="B242"/>
    </row>
    <row r="243" spans="2:2" x14ac:dyDescent="0.4">
      <c r="B243"/>
    </row>
    <row r="244" spans="2:2" x14ac:dyDescent="0.4">
      <c r="B244"/>
    </row>
    <row r="245" spans="2:2" x14ac:dyDescent="0.4">
      <c r="B245"/>
    </row>
    <row r="246" spans="2:2" x14ac:dyDescent="0.4">
      <c r="B246"/>
    </row>
    <row r="247" spans="2:2" x14ac:dyDescent="0.4">
      <c r="B247"/>
    </row>
    <row r="248" spans="2:2" x14ac:dyDescent="0.4">
      <c r="B248"/>
    </row>
    <row r="249" spans="2:2" x14ac:dyDescent="0.4">
      <c r="B249"/>
    </row>
    <row r="250" spans="2:2" x14ac:dyDescent="0.4">
      <c r="B250"/>
    </row>
    <row r="251" spans="2:2" x14ac:dyDescent="0.4">
      <c r="B251"/>
    </row>
    <row r="252" spans="2:2" x14ac:dyDescent="0.4">
      <c r="B252"/>
    </row>
    <row r="253" spans="2:2" x14ac:dyDescent="0.4">
      <c r="B253"/>
    </row>
    <row r="254" spans="2:2" x14ac:dyDescent="0.4">
      <c r="B254"/>
    </row>
    <row r="255" spans="2:2" x14ac:dyDescent="0.4">
      <c r="B255"/>
    </row>
    <row r="256" spans="2:2" x14ac:dyDescent="0.4">
      <c r="B256"/>
    </row>
    <row r="257" spans="2:2" x14ac:dyDescent="0.4">
      <c r="B257"/>
    </row>
    <row r="258" spans="2:2" x14ac:dyDescent="0.4">
      <c r="B258"/>
    </row>
    <row r="259" spans="2:2" x14ac:dyDescent="0.4">
      <c r="B259"/>
    </row>
    <row r="260" spans="2:2" x14ac:dyDescent="0.4">
      <c r="B260"/>
    </row>
    <row r="261" spans="2:2" x14ac:dyDescent="0.4">
      <c r="B261"/>
    </row>
    <row r="262" spans="2:2" x14ac:dyDescent="0.4">
      <c r="B262"/>
    </row>
    <row r="263" spans="2:2" x14ac:dyDescent="0.4">
      <c r="B263"/>
    </row>
    <row r="264" spans="2:2" x14ac:dyDescent="0.4">
      <c r="B264"/>
    </row>
    <row r="265" spans="2:2" x14ac:dyDescent="0.4">
      <c r="B265"/>
    </row>
    <row r="266" spans="2:2" x14ac:dyDescent="0.4">
      <c r="B266"/>
    </row>
    <row r="267" spans="2:2" x14ac:dyDescent="0.4">
      <c r="B267"/>
    </row>
    <row r="268" spans="2:2" x14ac:dyDescent="0.4">
      <c r="B268"/>
    </row>
    <row r="269" spans="2:2" x14ac:dyDescent="0.4">
      <c r="B269"/>
    </row>
    <row r="270" spans="2:2" x14ac:dyDescent="0.4">
      <c r="B270"/>
    </row>
    <row r="271" spans="2:2" x14ac:dyDescent="0.4">
      <c r="B271"/>
    </row>
    <row r="272" spans="2:2" x14ac:dyDescent="0.4">
      <c r="B272"/>
    </row>
    <row r="273" spans="2:2" x14ac:dyDescent="0.4">
      <c r="B273"/>
    </row>
    <row r="274" spans="2:2" x14ac:dyDescent="0.4">
      <c r="B274"/>
    </row>
    <row r="275" spans="2:2" x14ac:dyDescent="0.4">
      <c r="B275"/>
    </row>
    <row r="276" spans="2:2" x14ac:dyDescent="0.4">
      <c r="B276"/>
    </row>
    <row r="277" spans="2:2" x14ac:dyDescent="0.4">
      <c r="B277"/>
    </row>
    <row r="278" spans="2:2" x14ac:dyDescent="0.4">
      <c r="B278"/>
    </row>
    <row r="279" spans="2:2" x14ac:dyDescent="0.4">
      <c r="B279"/>
    </row>
    <row r="280" spans="2:2" x14ac:dyDescent="0.4">
      <c r="B280"/>
    </row>
    <row r="281" spans="2:2" x14ac:dyDescent="0.4">
      <c r="B281"/>
    </row>
    <row r="282" spans="2:2" x14ac:dyDescent="0.4">
      <c r="B282"/>
    </row>
    <row r="283" spans="2:2" x14ac:dyDescent="0.4">
      <c r="B283"/>
    </row>
    <row r="284" spans="2:2" x14ac:dyDescent="0.4">
      <c r="B284"/>
    </row>
    <row r="285" spans="2:2" x14ac:dyDescent="0.4">
      <c r="B285"/>
    </row>
    <row r="286" spans="2:2" x14ac:dyDescent="0.4">
      <c r="B286"/>
    </row>
    <row r="287" spans="2:2" x14ac:dyDescent="0.4">
      <c r="B287"/>
    </row>
    <row r="288" spans="2:2" x14ac:dyDescent="0.4">
      <c r="B288"/>
    </row>
    <row r="289" spans="2:2" x14ac:dyDescent="0.4">
      <c r="B289"/>
    </row>
    <row r="290" spans="2:2" x14ac:dyDescent="0.4">
      <c r="B290"/>
    </row>
    <row r="291" spans="2:2" x14ac:dyDescent="0.4">
      <c r="B291"/>
    </row>
    <row r="292" spans="2:2" x14ac:dyDescent="0.4">
      <c r="B292"/>
    </row>
    <row r="293" spans="2:2" x14ac:dyDescent="0.4">
      <c r="B293"/>
    </row>
    <row r="294" spans="2:2" x14ac:dyDescent="0.4">
      <c r="B294"/>
    </row>
    <row r="295" spans="2:2" x14ac:dyDescent="0.4">
      <c r="B295"/>
    </row>
    <row r="296" spans="2:2" x14ac:dyDescent="0.4">
      <c r="B296"/>
    </row>
    <row r="297" spans="2:2" x14ac:dyDescent="0.4">
      <c r="B297"/>
    </row>
    <row r="298" spans="2:2" x14ac:dyDescent="0.4">
      <c r="B298"/>
    </row>
    <row r="299" spans="2:2" x14ac:dyDescent="0.4">
      <c r="B299"/>
    </row>
    <row r="300" spans="2:2" x14ac:dyDescent="0.4">
      <c r="B300"/>
    </row>
    <row r="301" spans="2:2" x14ac:dyDescent="0.4">
      <c r="B301"/>
    </row>
    <row r="302" spans="2:2" x14ac:dyDescent="0.4">
      <c r="B302"/>
    </row>
    <row r="303" spans="2:2" x14ac:dyDescent="0.4">
      <c r="B303"/>
    </row>
    <row r="304" spans="2:2" x14ac:dyDescent="0.4">
      <c r="B304"/>
    </row>
    <row r="305" spans="2:2" x14ac:dyDescent="0.4">
      <c r="B305"/>
    </row>
    <row r="306" spans="2:2" x14ac:dyDescent="0.4">
      <c r="B306"/>
    </row>
    <row r="307" spans="2:2" x14ac:dyDescent="0.4">
      <c r="B307"/>
    </row>
    <row r="308" spans="2:2" x14ac:dyDescent="0.4">
      <c r="B308"/>
    </row>
    <row r="309" spans="2:2" x14ac:dyDescent="0.4">
      <c r="B309"/>
    </row>
    <row r="310" spans="2:2" x14ac:dyDescent="0.4">
      <c r="B310"/>
    </row>
    <row r="311" spans="2:2" x14ac:dyDescent="0.4">
      <c r="B311"/>
    </row>
    <row r="312" spans="2:2" x14ac:dyDescent="0.4">
      <c r="B312"/>
    </row>
    <row r="313" spans="2:2" x14ac:dyDescent="0.4">
      <c r="B313"/>
    </row>
    <row r="314" spans="2:2" x14ac:dyDescent="0.4">
      <c r="B314"/>
    </row>
    <row r="315" spans="2:2" x14ac:dyDescent="0.4">
      <c r="B315"/>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6C7B2-CC2B-412F-8508-1B6CE153EA28}">
  <dimension ref="A1:AC312"/>
  <sheetViews>
    <sheetView topLeftCell="X1" zoomScale="110" zoomScaleNormal="110" workbookViewId="0">
      <selection activeCell="AB8" sqref="AB8"/>
    </sheetView>
  </sheetViews>
  <sheetFormatPr defaultRowHeight="19.5" x14ac:dyDescent="0.4"/>
  <cols>
    <col min="1" max="1" width="17.7265625" customWidth="1"/>
    <col min="2" max="2" width="12" style="4" customWidth="1"/>
    <col min="4" max="4" width="20.6328125" customWidth="1"/>
    <col min="6" max="6" width="8.7265625" style="4"/>
    <col min="7" max="7" width="8.7265625" style="2"/>
    <col min="9" max="9" width="12.7265625" customWidth="1"/>
    <col min="10" max="10" width="21.81640625" customWidth="1"/>
    <col min="11" max="11" width="11.54296875" style="2" customWidth="1"/>
    <col min="12" max="12" width="10.1796875" style="3" customWidth="1"/>
    <col min="13" max="13" width="17.90625" style="2" customWidth="1"/>
    <col min="14" max="14" width="17.90625" style="4" customWidth="1"/>
    <col min="15" max="15" width="16.54296875" customWidth="1"/>
    <col min="16" max="16" width="19.36328125" customWidth="1"/>
    <col min="17" max="17" width="18.36328125" customWidth="1"/>
    <col min="18" max="18" width="15.1796875" customWidth="1"/>
    <col min="19" max="19" width="20.36328125" customWidth="1"/>
    <col min="20" max="20" width="17.54296875" customWidth="1"/>
    <col min="21" max="21" width="18.1796875" style="5" customWidth="1"/>
    <col min="22" max="22" width="17.453125" style="4" customWidth="1"/>
    <col min="23" max="23" width="22.26953125" style="4" customWidth="1"/>
    <col min="24" max="24" width="26.81640625" style="2" customWidth="1"/>
    <col min="25" max="25" width="21.54296875" style="4" customWidth="1"/>
    <col min="26" max="26" width="11.7265625" style="4" customWidth="1"/>
  </cols>
  <sheetData>
    <row r="1" spans="1:29" x14ac:dyDescent="0.4">
      <c r="A1" t="s">
        <v>478</v>
      </c>
      <c r="B1" s="4" t="s">
        <v>466</v>
      </c>
      <c r="C1" t="s">
        <v>465</v>
      </c>
      <c r="D1" t="s">
        <v>464</v>
      </c>
      <c r="E1" t="s">
        <v>463</v>
      </c>
      <c r="F1" s="4" t="s">
        <v>462</v>
      </c>
      <c r="G1" s="2" t="s">
        <v>461</v>
      </c>
      <c r="H1" t="s">
        <v>460</v>
      </c>
      <c r="I1" t="s">
        <v>459</v>
      </c>
      <c r="J1" t="s">
        <v>458</v>
      </c>
      <c r="K1" s="2" t="s">
        <v>457</v>
      </c>
      <c r="L1" s="3" t="s">
        <v>467</v>
      </c>
      <c r="M1" s="2" t="s">
        <v>456</v>
      </c>
      <c r="N1" s="4" t="s">
        <v>468</v>
      </c>
      <c r="O1" t="s">
        <v>455</v>
      </c>
      <c r="P1" t="s">
        <v>492</v>
      </c>
      <c r="Q1" t="s">
        <v>454</v>
      </c>
      <c r="R1" t="s">
        <v>453</v>
      </c>
      <c r="S1" t="s">
        <v>452</v>
      </c>
      <c r="T1" t="s">
        <v>451</v>
      </c>
      <c r="U1" s="5" t="s">
        <v>450</v>
      </c>
      <c r="V1" s="4" t="s">
        <v>449</v>
      </c>
      <c r="W1" s="4" t="s">
        <v>448</v>
      </c>
      <c r="X1" s="2" t="s">
        <v>447</v>
      </c>
      <c r="Y1" s="4" t="s">
        <v>446</v>
      </c>
      <c r="Z1" s="4" t="s">
        <v>469</v>
      </c>
    </row>
    <row r="2" spans="1:29" x14ac:dyDescent="0.4">
      <c r="A2" t="s">
        <v>445</v>
      </c>
      <c r="B2" s="4">
        <v>10026</v>
      </c>
      <c r="C2" s="1">
        <v>62506</v>
      </c>
      <c r="D2" t="s">
        <v>11</v>
      </c>
      <c r="E2" t="s">
        <v>10</v>
      </c>
      <c r="F2" s="4">
        <v>1960</v>
      </c>
      <c r="G2" s="2">
        <v>30507</v>
      </c>
      <c r="H2" t="s">
        <v>31</v>
      </c>
      <c r="I2" t="s">
        <v>17</v>
      </c>
      <c r="J2" t="s">
        <v>16</v>
      </c>
      <c r="K2" s="2">
        <v>40729</v>
      </c>
      <c r="L2" s="3">
        <f>DATEDIF(HR_Data[[#This Row],[DOB]],HR_Data[[#This Row],[Date of Hire]],"Y")</f>
        <v>27</v>
      </c>
      <c r="N2" s="4" t="str">
        <f>IFERROR(DATEDIF(HR_Data[[#This Row],[Date of Hire]],HR_Data[[#This Row],[Date of Termination]],"Y"),"")</f>
        <v/>
      </c>
      <c r="O2" t="s">
        <v>6</v>
      </c>
      <c r="P2" t="s">
        <v>5</v>
      </c>
      <c r="Q2" t="s">
        <v>4</v>
      </c>
      <c r="R2" t="s">
        <v>67</v>
      </c>
      <c r="S2" t="s">
        <v>2</v>
      </c>
      <c r="T2" t="s">
        <v>20</v>
      </c>
      <c r="U2" s="5">
        <v>4.5999999999999996</v>
      </c>
      <c r="V2" s="4">
        <v>5</v>
      </c>
      <c r="W2" s="4">
        <v>0</v>
      </c>
      <c r="X2" s="2">
        <v>43482</v>
      </c>
      <c r="Y2" s="4">
        <v>0</v>
      </c>
      <c r="Z2" s="4">
        <v>1</v>
      </c>
    </row>
    <row r="3" spans="1:29" x14ac:dyDescent="0.4">
      <c r="A3" t="s">
        <v>444</v>
      </c>
      <c r="B3" s="4">
        <v>10084</v>
      </c>
      <c r="C3" s="1">
        <v>104437</v>
      </c>
      <c r="D3" t="s">
        <v>400</v>
      </c>
      <c r="E3" t="s">
        <v>10</v>
      </c>
      <c r="F3" s="4">
        <v>2148</v>
      </c>
      <c r="G3" s="2">
        <v>27519</v>
      </c>
      <c r="H3" t="s">
        <v>31</v>
      </c>
      <c r="I3" t="s">
        <v>47</v>
      </c>
      <c r="J3" t="s">
        <v>16</v>
      </c>
      <c r="K3" s="2">
        <v>40730</v>
      </c>
      <c r="L3" s="3">
        <f>DATEDIF(HR_Data[[#This Row],[DOB]],HR_Data[[#This Row],[Date of Hire]],"Y")</f>
        <v>36</v>
      </c>
      <c r="M3" s="2">
        <v>42537</v>
      </c>
      <c r="N3" s="4">
        <f>IFERROR(DATEDIF(HR_Data[[#This Row],[Date of Hire]],HR_Data[[#This Row],[Date of Termination]],"Y"),"")</f>
        <v>4</v>
      </c>
      <c r="O3" t="s">
        <v>62</v>
      </c>
      <c r="P3" t="s">
        <v>27</v>
      </c>
      <c r="Q3" t="s">
        <v>15</v>
      </c>
      <c r="R3" t="s">
        <v>14</v>
      </c>
      <c r="S3" t="s">
        <v>55</v>
      </c>
      <c r="T3" t="s">
        <v>1</v>
      </c>
      <c r="U3" s="5">
        <v>4.96</v>
      </c>
      <c r="V3" s="4">
        <v>3</v>
      </c>
      <c r="W3" s="4">
        <v>6</v>
      </c>
      <c r="X3" s="2">
        <v>42424</v>
      </c>
      <c r="Y3" s="4">
        <v>0</v>
      </c>
      <c r="Z3" s="4">
        <v>1</v>
      </c>
    </row>
    <row r="4" spans="1:29" x14ac:dyDescent="0.4">
      <c r="A4" t="s">
        <v>443</v>
      </c>
      <c r="B4" s="4">
        <v>10196</v>
      </c>
      <c r="C4" s="1">
        <v>64955</v>
      </c>
      <c r="D4" t="s">
        <v>32</v>
      </c>
      <c r="E4" t="s">
        <v>10</v>
      </c>
      <c r="F4" s="4">
        <v>1810</v>
      </c>
      <c r="G4" s="2">
        <v>32405</v>
      </c>
      <c r="H4" t="s">
        <v>9</v>
      </c>
      <c r="I4" t="s">
        <v>47</v>
      </c>
      <c r="J4" t="s">
        <v>16</v>
      </c>
      <c r="K4" s="2">
        <v>40731</v>
      </c>
      <c r="L4" s="3">
        <f>DATEDIF(HR_Data[[#This Row],[DOB]],HR_Data[[#This Row],[Date of Hire]],"Y")</f>
        <v>22</v>
      </c>
      <c r="M4" s="2">
        <v>41176</v>
      </c>
      <c r="N4" s="4">
        <f>IFERROR(DATEDIF(HR_Data[[#This Row],[Date of Hire]],HR_Data[[#This Row],[Date of Termination]],"Y"),"")</f>
        <v>1</v>
      </c>
      <c r="O4" t="s">
        <v>50</v>
      </c>
      <c r="P4" t="s">
        <v>27</v>
      </c>
      <c r="Q4" t="s">
        <v>4</v>
      </c>
      <c r="R4" t="s">
        <v>30</v>
      </c>
      <c r="S4" t="s">
        <v>2</v>
      </c>
      <c r="T4" t="s">
        <v>1</v>
      </c>
      <c r="U4" s="5">
        <v>3.02</v>
      </c>
      <c r="V4" s="4">
        <v>3</v>
      </c>
      <c r="W4" s="4">
        <v>0</v>
      </c>
      <c r="X4" s="2">
        <v>41044</v>
      </c>
      <c r="Y4" s="4">
        <v>0</v>
      </c>
      <c r="Z4" s="4">
        <v>3</v>
      </c>
    </row>
    <row r="5" spans="1:29" x14ac:dyDescent="0.4">
      <c r="A5" t="s">
        <v>442</v>
      </c>
      <c r="B5" s="4">
        <v>10088</v>
      </c>
      <c r="C5" s="1">
        <v>64991</v>
      </c>
      <c r="D5" t="s">
        <v>11</v>
      </c>
      <c r="E5" t="s">
        <v>10</v>
      </c>
      <c r="F5" s="4">
        <v>1886</v>
      </c>
      <c r="G5" s="2">
        <v>32414</v>
      </c>
      <c r="H5" t="s">
        <v>9</v>
      </c>
      <c r="I5" t="s">
        <v>47</v>
      </c>
      <c r="J5" t="s">
        <v>16</v>
      </c>
      <c r="K5" s="2">
        <v>40732</v>
      </c>
      <c r="L5" s="3">
        <f>DATEDIF(HR_Data[[#This Row],[DOB]],HR_Data[[#This Row],[Date of Hire]],"Y")</f>
        <v>22</v>
      </c>
      <c r="N5" s="4" t="str">
        <f>IFERROR(DATEDIF(HR_Data[[#This Row],[Date of Hire]],HR_Data[[#This Row],[Date of Termination]],"Y"),"")</f>
        <v/>
      </c>
      <c r="O5" t="s">
        <v>6</v>
      </c>
      <c r="P5" t="s">
        <v>5</v>
      </c>
      <c r="Q5" t="s">
        <v>4</v>
      </c>
      <c r="R5" t="s">
        <v>61</v>
      </c>
      <c r="S5" t="s">
        <v>55</v>
      </c>
      <c r="T5" t="s">
        <v>1</v>
      </c>
      <c r="U5" s="5">
        <v>4.84</v>
      </c>
      <c r="V5" s="4">
        <v>5</v>
      </c>
      <c r="W5" s="4">
        <v>0</v>
      </c>
      <c r="X5" s="2">
        <v>43525</v>
      </c>
      <c r="Y5" s="4">
        <v>0</v>
      </c>
      <c r="Z5" s="4">
        <v>15</v>
      </c>
    </row>
    <row r="6" spans="1:29" x14ac:dyDescent="0.4">
      <c r="A6" t="s">
        <v>441</v>
      </c>
      <c r="B6" s="4">
        <v>10069</v>
      </c>
      <c r="C6" s="1">
        <v>50825</v>
      </c>
      <c r="D6" t="s">
        <v>11</v>
      </c>
      <c r="E6" t="s">
        <v>10</v>
      </c>
      <c r="F6" s="4">
        <v>2169</v>
      </c>
      <c r="G6" s="2">
        <v>32759</v>
      </c>
      <c r="H6" t="s">
        <v>9</v>
      </c>
      <c r="I6" t="s">
        <v>42</v>
      </c>
      <c r="J6" t="s">
        <v>16</v>
      </c>
      <c r="K6" s="2">
        <v>40733</v>
      </c>
      <c r="L6" s="3">
        <f>DATEDIF(HR_Data[[#This Row],[DOB]],HR_Data[[#This Row],[Date of Hire]],"Y")</f>
        <v>21</v>
      </c>
      <c r="M6" s="2">
        <v>42619</v>
      </c>
      <c r="N6" s="4">
        <f>IFERROR(DATEDIF(HR_Data[[#This Row],[Date of Hire]],HR_Data[[#This Row],[Date of Termination]],"Y"),"")</f>
        <v>5</v>
      </c>
      <c r="O6" t="s">
        <v>105</v>
      </c>
      <c r="P6" t="s">
        <v>27</v>
      </c>
      <c r="Q6" t="s">
        <v>4</v>
      </c>
      <c r="R6" t="s">
        <v>49</v>
      </c>
      <c r="S6" t="s">
        <v>25</v>
      </c>
      <c r="T6" t="s">
        <v>1</v>
      </c>
      <c r="U6" s="5">
        <v>5</v>
      </c>
      <c r="V6" s="4">
        <v>4</v>
      </c>
      <c r="W6" s="4">
        <v>0</v>
      </c>
      <c r="X6" s="2">
        <v>42371</v>
      </c>
      <c r="Y6" s="4">
        <v>0</v>
      </c>
      <c r="Z6" s="4">
        <v>2</v>
      </c>
    </row>
    <row r="7" spans="1:29" x14ac:dyDescent="0.4">
      <c r="A7" t="s">
        <v>440</v>
      </c>
      <c r="B7" s="4">
        <v>10002</v>
      </c>
      <c r="C7" s="1">
        <v>57568</v>
      </c>
      <c r="D7" t="s">
        <v>11</v>
      </c>
      <c r="E7" t="s">
        <v>10</v>
      </c>
      <c r="F7" s="4">
        <v>1844</v>
      </c>
      <c r="G7" s="2">
        <v>28267</v>
      </c>
      <c r="H7" t="s">
        <v>9</v>
      </c>
      <c r="I7" t="s">
        <v>17</v>
      </c>
      <c r="J7" t="s">
        <v>16</v>
      </c>
      <c r="K7" s="2">
        <v>40734</v>
      </c>
      <c r="L7" s="3">
        <f>DATEDIF(HR_Data[[#This Row],[DOB]],HR_Data[[#This Row],[Date of Hire]],"Y")</f>
        <v>34</v>
      </c>
      <c r="N7" s="4" t="str">
        <f>IFERROR(DATEDIF(HR_Data[[#This Row],[Date of Hire]],HR_Data[[#This Row],[Date of Termination]],"Y"),"")</f>
        <v/>
      </c>
      <c r="O7" t="s">
        <v>6</v>
      </c>
      <c r="P7" t="s">
        <v>5</v>
      </c>
      <c r="Q7" t="s">
        <v>4</v>
      </c>
      <c r="R7" t="s">
        <v>45</v>
      </c>
      <c r="S7" t="s">
        <v>2</v>
      </c>
      <c r="T7" t="s">
        <v>20</v>
      </c>
      <c r="U7" s="5">
        <v>5</v>
      </c>
      <c r="V7" s="4">
        <v>5</v>
      </c>
      <c r="W7" s="4">
        <v>0</v>
      </c>
      <c r="X7" s="2">
        <v>43647</v>
      </c>
      <c r="Y7" s="4">
        <v>0</v>
      </c>
      <c r="Z7" s="4">
        <v>15</v>
      </c>
    </row>
    <row r="8" spans="1:29" x14ac:dyDescent="0.4">
      <c r="A8" t="s">
        <v>439</v>
      </c>
      <c r="B8" s="4">
        <v>10194</v>
      </c>
      <c r="C8" s="1">
        <v>95660</v>
      </c>
      <c r="D8" t="s">
        <v>93</v>
      </c>
      <c r="E8" t="s">
        <v>10</v>
      </c>
      <c r="F8" s="4">
        <v>2110</v>
      </c>
      <c r="G8" s="2">
        <v>28999</v>
      </c>
      <c r="H8" t="s">
        <v>9</v>
      </c>
      <c r="I8" t="s">
        <v>17</v>
      </c>
      <c r="J8" t="s">
        <v>16</v>
      </c>
      <c r="K8" s="2">
        <v>40735</v>
      </c>
      <c r="L8" s="3">
        <f>DATEDIF(HR_Data[[#This Row],[DOB]],HR_Data[[#This Row],[Date of Hire]],"Y")</f>
        <v>32</v>
      </c>
      <c r="N8" s="4" t="str">
        <f>IFERROR(DATEDIF(HR_Data[[#This Row],[Date of Hire]],HR_Data[[#This Row],[Date of Termination]],"Y"),"")</f>
        <v/>
      </c>
      <c r="O8" t="s">
        <v>6</v>
      </c>
      <c r="P8" t="s">
        <v>5</v>
      </c>
      <c r="Q8" t="s">
        <v>91</v>
      </c>
      <c r="R8" t="s">
        <v>90</v>
      </c>
      <c r="S8" t="s">
        <v>2</v>
      </c>
      <c r="T8" t="s">
        <v>1</v>
      </c>
      <c r="U8" s="5">
        <v>3.04</v>
      </c>
      <c r="V8" s="4">
        <v>3</v>
      </c>
      <c r="W8" s="4">
        <v>4</v>
      </c>
      <c r="X8" s="2">
        <v>43497</v>
      </c>
      <c r="Y8" s="4">
        <v>0</v>
      </c>
      <c r="Z8" s="4">
        <v>19</v>
      </c>
    </row>
    <row r="9" spans="1:29" x14ac:dyDescent="0.4">
      <c r="A9" t="s">
        <v>438</v>
      </c>
      <c r="B9" s="4">
        <v>10062</v>
      </c>
      <c r="C9" s="1">
        <v>59365</v>
      </c>
      <c r="D9" t="s">
        <v>11</v>
      </c>
      <c r="E9" t="s">
        <v>10</v>
      </c>
      <c r="F9" s="4">
        <v>2199</v>
      </c>
      <c r="G9" s="2">
        <v>30365</v>
      </c>
      <c r="H9" t="s">
        <v>31</v>
      </c>
      <c r="I9" t="s">
        <v>8</v>
      </c>
      <c r="J9" t="s">
        <v>16</v>
      </c>
      <c r="K9" s="2">
        <v>40736</v>
      </c>
      <c r="L9" s="3">
        <f>DATEDIF(HR_Data[[#This Row],[DOB]],HR_Data[[#This Row],[Date of Hire]],"Y")</f>
        <v>28</v>
      </c>
      <c r="N9" s="4" t="str">
        <f>IFERROR(DATEDIF(HR_Data[[#This Row],[Date of Hire]],HR_Data[[#This Row],[Date of Termination]],"Y"),"")</f>
        <v/>
      </c>
      <c r="O9" t="s">
        <v>6</v>
      </c>
      <c r="P9" t="s">
        <v>5</v>
      </c>
      <c r="Q9" t="s">
        <v>4</v>
      </c>
      <c r="R9" t="s">
        <v>38</v>
      </c>
      <c r="S9" t="s">
        <v>13</v>
      </c>
      <c r="T9" t="s">
        <v>1</v>
      </c>
      <c r="U9" s="5">
        <v>5</v>
      </c>
      <c r="V9" s="4">
        <v>4</v>
      </c>
      <c r="W9" s="4">
        <v>0</v>
      </c>
      <c r="X9" s="2">
        <v>43521</v>
      </c>
      <c r="Y9" s="4">
        <v>0</v>
      </c>
      <c r="Z9" s="4">
        <v>19</v>
      </c>
    </row>
    <row r="10" spans="1:29" x14ac:dyDescent="0.4">
      <c r="A10" t="s">
        <v>437</v>
      </c>
      <c r="B10" s="4">
        <v>10114</v>
      </c>
      <c r="C10" s="1">
        <v>47837</v>
      </c>
      <c r="D10" t="s">
        <v>11</v>
      </c>
      <c r="E10" t="s">
        <v>10</v>
      </c>
      <c r="F10" s="4">
        <v>1902</v>
      </c>
      <c r="G10" s="2">
        <v>25610</v>
      </c>
      <c r="H10" t="s">
        <v>9</v>
      </c>
      <c r="I10" t="s">
        <v>17</v>
      </c>
      <c r="J10" t="s">
        <v>40</v>
      </c>
      <c r="K10" s="2">
        <v>40737</v>
      </c>
      <c r="L10" s="3">
        <f>DATEDIF(HR_Data[[#This Row],[DOB]],HR_Data[[#This Row],[Date of Hire]],"Y")</f>
        <v>41</v>
      </c>
      <c r="N10" s="4" t="str">
        <f>IFERROR(DATEDIF(HR_Data[[#This Row],[Date of Hire]],HR_Data[[#This Row],[Date of Termination]],"Y"),"")</f>
        <v/>
      </c>
      <c r="O10" t="s">
        <v>6</v>
      </c>
      <c r="P10" t="s">
        <v>5</v>
      </c>
      <c r="Q10" t="s">
        <v>4</v>
      </c>
      <c r="R10" t="s">
        <v>26</v>
      </c>
      <c r="S10" t="s">
        <v>37</v>
      </c>
      <c r="T10" t="s">
        <v>1</v>
      </c>
      <c r="U10" s="5">
        <v>4.46</v>
      </c>
      <c r="V10" s="4">
        <v>3</v>
      </c>
      <c r="W10" s="4">
        <v>0</v>
      </c>
      <c r="X10" s="2">
        <v>43490</v>
      </c>
      <c r="Y10" s="4">
        <v>0</v>
      </c>
      <c r="Z10" s="4">
        <v>4</v>
      </c>
    </row>
    <row r="11" spans="1:29" x14ac:dyDescent="0.4">
      <c r="A11" t="s">
        <v>436</v>
      </c>
      <c r="B11" s="4">
        <v>10250</v>
      </c>
      <c r="C11" s="1">
        <v>50178</v>
      </c>
      <c r="D11" t="s">
        <v>132</v>
      </c>
      <c r="E11" t="s">
        <v>10</v>
      </c>
      <c r="F11" s="4">
        <v>1886</v>
      </c>
      <c r="G11" s="2">
        <v>32149</v>
      </c>
      <c r="H11" t="s">
        <v>31</v>
      </c>
      <c r="I11" t="s">
        <v>42</v>
      </c>
      <c r="J11" t="s">
        <v>16</v>
      </c>
      <c r="K11" s="2">
        <v>40738</v>
      </c>
      <c r="L11" s="3">
        <f>DATEDIF(HR_Data[[#This Row],[DOB]],HR_Data[[#This Row],[Date of Hire]],"Y")</f>
        <v>23</v>
      </c>
      <c r="N11" s="4" t="str">
        <f>IFERROR(DATEDIF(HR_Data[[#This Row],[Date of Hire]],HR_Data[[#This Row],[Date of Termination]],"Y"),"")</f>
        <v/>
      </c>
      <c r="O11" t="s">
        <v>6</v>
      </c>
      <c r="P11" t="s">
        <v>5</v>
      </c>
      <c r="Q11" t="s">
        <v>15</v>
      </c>
      <c r="R11" t="s">
        <v>52</v>
      </c>
      <c r="S11" t="s">
        <v>55</v>
      </c>
      <c r="T11" t="s">
        <v>1</v>
      </c>
      <c r="U11" s="5">
        <v>5</v>
      </c>
      <c r="V11" s="4">
        <v>5</v>
      </c>
      <c r="W11" s="4">
        <v>6</v>
      </c>
      <c r="X11" s="2">
        <v>43514</v>
      </c>
      <c r="Y11" s="4">
        <v>0</v>
      </c>
      <c r="Z11" s="4">
        <v>16</v>
      </c>
    </row>
    <row r="12" spans="1:29" x14ac:dyDescent="0.4">
      <c r="A12" t="s">
        <v>435</v>
      </c>
      <c r="B12" s="4">
        <v>10252</v>
      </c>
      <c r="C12" s="1">
        <v>54670</v>
      </c>
      <c r="D12" t="s">
        <v>11</v>
      </c>
      <c r="E12" t="s">
        <v>10</v>
      </c>
      <c r="F12" s="4">
        <v>1902</v>
      </c>
      <c r="G12" s="2">
        <v>27041</v>
      </c>
      <c r="H12" t="s">
        <v>9</v>
      </c>
      <c r="I12" t="s">
        <v>47</v>
      </c>
      <c r="J12" t="s">
        <v>40</v>
      </c>
      <c r="K12" s="2">
        <v>40739</v>
      </c>
      <c r="L12" s="3">
        <f>DATEDIF(HR_Data[[#This Row],[DOB]],HR_Data[[#This Row],[Date of Hire]],"Y")</f>
        <v>37</v>
      </c>
      <c r="M12" s="2">
        <v>42747</v>
      </c>
      <c r="N12" s="4">
        <f>IFERROR(DATEDIF(HR_Data[[#This Row],[Date of Hire]],HR_Data[[#This Row],[Date of Termination]],"Y"),"")</f>
        <v>5</v>
      </c>
      <c r="O12" t="s">
        <v>28</v>
      </c>
      <c r="P12" t="s">
        <v>27</v>
      </c>
      <c r="Q12" t="s">
        <v>4</v>
      </c>
      <c r="R12" t="s">
        <v>3</v>
      </c>
      <c r="S12" t="s">
        <v>37</v>
      </c>
      <c r="T12" t="s">
        <v>1</v>
      </c>
      <c r="U12" s="5">
        <v>4.2</v>
      </c>
      <c r="V12" s="4">
        <v>4</v>
      </c>
      <c r="W12" s="4">
        <v>0</v>
      </c>
      <c r="X12" s="2">
        <v>42399</v>
      </c>
      <c r="Y12" s="4">
        <v>0</v>
      </c>
      <c r="Z12" s="4">
        <v>12</v>
      </c>
      <c r="AC12" s="4"/>
    </row>
    <row r="13" spans="1:29" x14ac:dyDescent="0.4">
      <c r="A13" t="s">
        <v>434</v>
      </c>
      <c r="B13" s="4">
        <v>10242</v>
      </c>
      <c r="C13" s="1">
        <v>47211</v>
      </c>
      <c r="D13" t="s">
        <v>11</v>
      </c>
      <c r="E13" t="s">
        <v>10</v>
      </c>
      <c r="F13" s="4">
        <v>2062</v>
      </c>
      <c r="G13" s="2">
        <v>27081</v>
      </c>
      <c r="H13" t="s">
        <v>31</v>
      </c>
      <c r="I13" t="s">
        <v>47</v>
      </c>
      <c r="J13" t="s">
        <v>40</v>
      </c>
      <c r="K13" s="2">
        <v>40740</v>
      </c>
      <c r="L13" s="3">
        <f>DATEDIF(HR_Data[[#This Row],[DOB]],HR_Data[[#This Row],[Date of Hire]],"Y")</f>
        <v>37</v>
      </c>
      <c r="M13" s="2">
        <v>42632</v>
      </c>
      <c r="N13" s="4">
        <f>IFERROR(DATEDIF(HR_Data[[#This Row],[Date of Hire]],HR_Data[[#This Row],[Date of Termination]],"Y"),"")</f>
        <v>5</v>
      </c>
      <c r="O13" t="s">
        <v>46</v>
      </c>
      <c r="P13" t="s">
        <v>27</v>
      </c>
      <c r="Q13" t="s">
        <v>4</v>
      </c>
      <c r="R13" t="s">
        <v>30</v>
      </c>
      <c r="S13" t="s">
        <v>37</v>
      </c>
      <c r="T13" t="s">
        <v>1</v>
      </c>
      <c r="U13" s="5">
        <v>4.2</v>
      </c>
      <c r="V13" s="4">
        <v>3</v>
      </c>
      <c r="W13" s="4">
        <v>0</v>
      </c>
      <c r="X13" s="2">
        <v>42526</v>
      </c>
      <c r="Y13" s="4">
        <v>0</v>
      </c>
      <c r="Z13" s="4">
        <v>15</v>
      </c>
    </row>
    <row r="14" spans="1:29" x14ac:dyDescent="0.4">
      <c r="A14" t="s">
        <v>433</v>
      </c>
      <c r="B14" s="4">
        <v>10012</v>
      </c>
      <c r="C14" s="1">
        <v>92328</v>
      </c>
      <c r="D14" t="s">
        <v>18</v>
      </c>
      <c r="E14" t="s">
        <v>228</v>
      </c>
      <c r="F14" s="4">
        <v>78230</v>
      </c>
      <c r="G14" s="2">
        <v>32328</v>
      </c>
      <c r="H14" t="s">
        <v>31</v>
      </c>
      <c r="I14" t="s">
        <v>42</v>
      </c>
      <c r="J14" t="s">
        <v>40</v>
      </c>
      <c r="K14" s="2">
        <v>40741</v>
      </c>
      <c r="L14" s="3">
        <f>DATEDIF(HR_Data[[#This Row],[DOB]],HR_Data[[#This Row],[Date of Hire]],"Y")</f>
        <v>23</v>
      </c>
      <c r="N14" s="4" t="str">
        <f>IFERROR(DATEDIF(HR_Data[[#This Row],[Date of Hire]],HR_Data[[#This Row],[Date of Termination]],"Y"),"")</f>
        <v/>
      </c>
      <c r="O14" t="s">
        <v>6</v>
      </c>
      <c r="P14" t="s">
        <v>5</v>
      </c>
      <c r="Q14" t="s">
        <v>15</v>
      </c>
      <c r="R14" t="s">
        <v>14</v>
      </c>
      <c r="S14" t="s">
        <v>37</v>
      </c>
      <c r="T14" t="s">
        <v>20</v>
      </c>
      <c r="U14" s="5">
        <v>4.28</v>
      </c>
      <c r="V14" s="4">
        <v>4</v>
      </c>
      <c r="W14" s="4">
        <v>5</v>
      </c>
      <c r="X14" s="2">
        <v>43521</v>
      </c>
      <c r="Y14" s="4">
        <v>0</v>
      </c>
      <c r="Z14" s="4">
        <v>9</v>
      </c>
    </row>
    <row r="15" spans="1:29" x14ac:dyDescent="0.4">
      <c r="A15" t="s">
        <v>432</v>
      </c>
      <c r="B15" s="4">
        <v>10265</v>
      </c>
      <c r="C15" s="1">
        <v>58709</v>
      </c>
      <c r="D15" t="s">
        <v>11</v>
      </c>
      <c r="E15" t="s">
        <v>10</v>
      </c>
      <c r="F15" s="4">
        <v>1810</v>
      </c>
      <c r="G15" s="2">
        <v>30517</v>
      </c>
      <c r="H15" t="s">
        <v>31</v>
      </c>
      <c r="I15" t="s">
        <v>17</v>
      </c>
      <c r="J15" t="s">
        <v>84</v>
      </c>
      <c r="K15" s="2">
        <v>40742</v>
      </c>
      <c r="L15" s="3">
        <f>DATEDIF(HR_Data[[#This Row],[DOB]],HR_Data[[#This Row],[Date of Hire]],"Y")</f>
        <v>27</v>
      </c>
      <c r="N15" s="4" t="str">
        <f>IFERROR(DATEDIF(HR_Data[[#This Row],[Date of Hire]],HR_Data[[#This Row],[Date of Termination]],"Y"),"")</f>
        <v/>
      </c>
      <c r="O15" t="s">
        <v>6</v>
      </c>
      <c r="P15" t="s">
        <v>5</v>
      </c>
      <c r="Q15" t="s">
        <v>4</v>
      </c>
      <c r="R15" t="s">
        <v>69</v>
      </c>
      <c r="S15" t="s">
        <v>25</v>
      </c>
      <c r="T15" t="s">
        <v>1</v>
      </c>
      <c r="U15" s="5">
        <v>4.5999999999999996</v>
      </c>
      <c r="V15" s="4">
        <v>4</v>
      </c>
      <c r="W15" s="4">
        <v>0</v>
      </c>
      <c r="X15" s="2">
        <v>43510</v>
      </c>
      <c r="Y15" s="4">
        <v>0</v>
      </c>
      <c r="Z15" s="4">
        <v>7</v>
      </c>
    </row>
    <row r="16" spans="1:29" x14ac:dyDescent="0.4">
      <c r="A16" t="s">
        <v>431</v>
      </c>
      <c r="B16" s="4">
        <v>10066</v>
      </c>
      <c r="C16" s="1">
        <v>52505</v>
      </c>
      <c r="D16" t="s">
        <v>11</v>
      </c>
      <c r="E16" t="s">
        <v>10</v>
      </c>
      <c r="F16" s="4">
        <v>2747</v>
      </c>
      <c r="G16" s="2">
        <v>28321</v>
      </c>
      <c r="H16" t="s">
        <v>31</v>
      </c>
      <c r="I16" t="s">
        <v>42</v>
      </c>
      <c r="J16" t="s">
        <v>16</v>
      </c>
      <c r="K16" s="2">
        <v>40743</v>
      </c>
      <c r="L16" s="3">
        <f>DATEDIF(HR_Data[[#This Row],[DOB]],HR_Data[[#This Row],[Date of Hire]],"Y")</f>
        <v>34</v>
      </c>
      <c r="M16" s="2">
        <v>42831</v>
      </c>
      <c r="N16" s="4">
        <f>IFERROR(DATEDIF(HR_Data[[#This Row],[Date of Hire]],HR_Data[[#This Row],[Date of Termination]],"Y"),"")</f>
        <v>5</v>
      </c>
      <c r="O16" t="s">
        <v>28</v>
      </c>
      <c r="P16" t="s">
        <v>27</v>
      </c>
      <c r="Q16" t="s">
        <v>4</v>
      </c>
      <c r="R16" t="s">
        <v>67</v>
      </c>
      <c r="S16" t="s">
        <v>430</v>
      </c>
      <c r="T16" t="s">
        <v>1</v>
      </c>
      <c r="U16" s="5">
        <v>5</v>
      </c>
      <c r="V16" s="4">
        <v>5</v>
      </c>
      <c r="W16" s="4">
        <v>0</v>
      </c>
      <c r="X16" s="2">
        <v>42769</v>
      </c>
      <c r="Y16" s="4">
        <v>0</v>
      </c>
      <c r="Z16" s="4">
        <v>1</v>
      </c>
    </row>
    <row r="17" spans="1:26" x14ac:dyDescent="0.4">
      <c r="A17" t="s">
        <v>429</v>
      </c>
      <c r="B17" s="4">
        <v>10061</v>
      </c>
      <c r="C17" s="1">
        <v>57834</v>
      </c>
      <c r="D17" t="s">
        <v>11</v>
      </c>
      <c r="E17" t="s">
        <v>10</v>
      </c>
      <c r="F17" s="4">
        <v>2050</v>
      </c>
      <c r="G17" s="2">
        <v>29877</v>
      </c>
      <c r="H17" t="s">
        <v>31</v>
      </c>
      <c r="I17" t="s">
        <v>17</v>
      </c>
      <c r="J17" t="s">
        <v>16</v>
      </c>
      <c r="K17" s="2">
        <v>40744</v>
      </c>
      <c r="L17" s="3">
        <f>DATEDIF(HR_Data[[#This Row],[DOB]],HR_Data[[#This Row],[Date of Hire]],"Y")</f>
        <v>29</v>
      </c>
      <c r="M17" s="2">
        <v>42951</v>
      </c>
      <c r="N17" s="4">
        <f>IFERROR(DATEDIF(HR_Data[[#This Row],[Date of Hire]],HR_Data[[#This Row],[Date of Termination]],"Y"),"")</f>
        <v>6</v>
      </c>
      <c r="O17" t="s">
        <v>166</v>
      </c>
      <c r="P17" t="s">
        <v>70</v>
      </c>
      <c r="Q17" t="s">
        <v>4</v>
      </c>
      <c r="R17" t="s">
        <v>69</v>
      </c>
      <c r="S17" t="s">
        <v>25</v>
      </c>
      <c r="T17" t="s">
        <v>1</v>
      </c>
      <c r="U17" s="5">
        <v>5</v>
      </c>
      <c r="V17" s="4">
        <v>4</v>
      </c>
      <c r="W17" s="4">
        <v>0</v>
      </c>
      <c r="X17" s="2">
        <v>42859</v>
      </c>
      <c r="Y17" s="4">
        <v>0</v>
      </c>
      <c r="Z17" s="4">
        <v>20</v>
      </c>
    </row>
    <row r="18" spans="1:26" x14ac:dyDescent="0.4">
      <c r="A18" t="s">
        <v>428</v>
      </c>
      <c r="B18" s="4">
        <v>10023</v>
      </c>
      <c r="C18" s="1">
        <v>70131</v>
      </c>
      <c r="D18" t="s">
        <v>32</v>
      </c>
      <c r="E18" t="s">
        <v>10</v>
      </c>
      <c r="F18" s="4">
        <v>2145</v>
      </c>
      <c r="G18" s="2">
        <v>24214</v>
      </c>
      <c r="H18" t="s">
        <v>9</v>
      </c>
      <c r="I18" t="s">
        <v>47</v>
      </c>
      <c r="J18" t="s">
        <v>16</v>
      </c>
      <c r="K18" s="2">
        <v>40745</v>
      </c>
      <c r="L18" s="3">
        <f>DATEDIF(HR_Data[[#This Row],[DOB]],HR_Data[[#This Row],[Date of Hire]],"Y")</f>
        <v>45</v>
      </c>
      <c r="N18" s="4" t="str">
        <f>IFERROR(DATEDIF(HR_Data[[#This Row],[Date of Hire]],HR_Data[[#This Row],[Date of Termination]],"Y"),"")</f>
        <v/>
      </c>
      <c r="O18" t="s">
        <v>6</v>
      </c>
      <c r="P18" t="s">
        <v>5</v>
      </c>
      <c r="Q18" t="s">
        <v>4</v>
      </c>
      <c r="R18" t="s">
        <v>69</v>
      </c>
      <c r="S18" t="s">
        <v>13</v>
      </c>
      <c r="T18" t="s">
        <v>20</v>
      </c>
      <c r="U18" s="5">
        <v>4.4000000000000004</v>
      </c>
      <c r="V18" s="4">
        <v>3</v>
      </c>
      <c r="W18" s="4">
        <v>0</v>
      </c>
      <c r="X18" s="2">
        <v>43479</v>
      </c>
      <c r="Y18" s="4">
        <v>0</v>
      </c>
      <c r="Z18" s="4">
        <v>16</v>
      </c>
    </row>
    <row r="19" spans="1:26" x14ac:dyDescent="0.4">
      <c r="A19" t="s">
        <v>427</v>
      </c>
      <c r="B19" s="4">
        <v>10055</v>
      </c>
      <c r="C19" s="1">
        <v>59026</v>
      </c>
      <c r="D19" t="s">
        <v>11</v>
      </c>
      <c r="E19" t="s">
        <v>10</v>
      </c>
      <c r="F19" s="4">
        <v>1915</v>
      </c>
      <c r="G19" s="2">
        <v>25868</v>
      </c>
      <c r="H19" t="s">
        <v>9</v>
      </c>
      <c r="I19" t="s">
        <v>17</v>
      </c>
      <c r="J19" t="s">
        <v>16</v>
      </c>
      <c r="K19" s="2">
        <v>40746</v>
      </c>
      <c r="L19" s="3">
        <f>DATEDIF(HR_Data[[#This Row],[DOB]],HR_Data[[#This Row],[Date of Hire]],"Y")</f>
        <v>40</v>
      </c>
      <c r="N19" s="4" t="str">
        <f>IFERROR(DATEDIF(HR_Data[[#This Row],[Date of Hire]],HR_Data[[#This Row],[Date of Termination]],"Y"),"")</f>
        <v/>
      </c>
      <c r="O19" t="s">
        <v>6</v>
      </c>
      <c r="P19" t="s">
        <v>5</v>
      </c>
      <c r="Q19" t="s">
        <v>4</v>
      </c>
      <c r="R19" t="s">
        <v>61</v>
      </c>
      <c r="S19" t="s">
        <v>25</v>
      </c>
      <c r="T19" t="s">
        <v>1</v>
      </c>
      <c r="U19" s="5">
        <v>5</v>
      </c>
      <c r="V19" s="4">
        <v>5</v>
      </c>
      <c r="W19" s="4">
        <v>0</v>
      </c>
      <c r="X19" s="2">
        <v>43479</v>
      </c>
      <c r="Y19" s="4">
        <v>0</v>
      </c>
      <c r="Z19" s="4">
        <v>12</v>
      </c>
    </row>
    <row r="20" spans="1:26" x14ac:dyDescent="0.4">
      <c r="A20" t="s">
        <v>426</v>
      </c>
      <c r="B20" s="4">
        <v>10245</v>
      </c>
      <c r="C20" s="1">
        <v>110000</v>
      </c>
      <c r="D20" t="s">
        <v>74</v>
      </c>
      <c r="E20" t="s">
        <v>10</v>
      </c>
      <c r="F20" s="4">
        <v>2026</v>
      </c>
      <c r="G20" s="2">
        <v>31506</v>
      </c>
      <c r="H20" t="s">
        <v>9</v>
      </c>
      <c r="I20" t="s">
        <v>17</v>
      </c>
      <c r="J20" t="s">
        <v>16</v>
      </c>
      <c r="K20" s="2">
        <v>40747</v>
      </c>
      <c r="L20" s="3">
        <f>DATEDIF(HR_Data[[#This Row],[DOB]],HR_Data[[#This Row],[Date of Hire]],"Y")</f>
        <v>25</v>
      </c>
      <c r="M20" s="2">
        <v>42259</v>
      </c>
      <c r="N20" s="4">
        <f>IFERROR(DATEDIF(HR_Data[[#This Row],[Date of Hire]],HR_Data[[#This Row],[Date of Termination]],"Y"),"")</f>
        <v>4</v>
      </c>
      <c r="O20" t="s">
        <v>193</v>
      </c>
      <c r="P20" t="s">
        <v>70</v>
      </c>
      <c r="Q20" t="s">
        <v>15</v>
      </c>
      <c r="R20" t="s">
        <v>14</v>
      </c>
      <c r="S20" t="s">
        <v>25</v>
      </c>
      <c r="T20" t="s">
        <v>1</v>
      </c>
      <c r="U20" s="5">
        <v>4.5</v>
      </c>
      <c r="V20" s="4">
        <v>4</v>
      </c>
      <c r="W20" s="4">
        <v>5</v>
      </c>
      <c r="X20" s="2">
        <v>42019</v>
      </c>
      <c r="Y20" s="4">
        <v>0</v>
      </c>
      <c r="Z20" s="4">
        <v>8</v>
      </c>
    </row>
    <row r="21" spans="1:26" x14ac:dyDescent="0.4">
      <c r="A21" t="s">
        <v>425</v>
      </c>
      <c r="B21" s="4">
        <v>10277</v>
      </c>
      <c r="C21" s="1">
        <v>53250</v>
      </c>
      <c r="D21" t="s">
        <v>11</v>
      </c>
      <c r="E21" t="s">
        <v>10</v>
      </c>
      <c r="F21" s="4">
        <v>2452</v>
      </c>
      <c r="G21" s="2">
        <v>28951</v>
      </c>
      <c r="H21" t="s">
        <v>31</v>
      </c>
      <c r="I21" t="s">
        <v>17</v>
      </c>
      <c r="J21" t="s">
        <v>7</v>
      </c>
      <c r="K21" s="2">
        <v>40748</v>
      </c>
      <c r="L21" s="3">
        <f>DATEDIF(HR_Data[[#This Row],[DOB]],HR_Data[[#This Row],[Date of Hire]],"Y")</f>
        <v>32</v>
      </c>
      <c r="N21" s="4" t="str">
        <f>IFERROR(DATEDIF(HR_Data[[#This Row],[Date of Hire]],HR_Data[[#This Row],[Date of Termination]],"Y"),"")</f>
        <v/>
      </c>
      <c r="O21" t="s">
        <v>6</v>
      </c>
      <c r="P21" t="s">
        <v>5</v>
      </c>
      <c r="Q21" t="s">
        <v>4</v>
      </c>
      <c r="R21" t="s">
        <v>49</v>
      </c>
      <c r="S21" t="s">
        <v>2</v>
      </c>
      <c r="T21" t="s">
        <v>1</v>
      </c>
      <c r="U21" s="5">
        <v>4.2</v>
      </c>
      <c r="V21" s="4">
        <v>4</v>
      </c>
      <c r="W21" s="4">
        <v>0</v>
      </c>
      <c r="X21" s="2">
        <v>43770</v>
      </c>
      <c r="Y21" s="4">
        <v>0</v>
      </c>
      <c r="Z21" s="4">
        <v>13</v>
      </c>
    </row>
    <row r="22" spans="1:26" x14ac:dyDescent="0.4">
      <c r="A22" t="s">
        <v>424</v>
      </c>
      <c r="B22" s="4">
        <v>10046</v>
      </c>
      <c r="C22" s="1">
        <v>51044</v>
      </c>
      <c r="D22" t="s">
        <v>11</v>
      </c>
      <c r="E22" t="s">
        <v>10</v>
      </c>
      <c r="F22" s="4">
        <v>2072</v>
      </c>
      <c r="G22" s="2">
        <v>25924</v>
      </c>
      <c r="H22" t="s">
        <v>31</v>
      </c>
      <c r="I22" t="s">
        <v>17</v>
      </c>
      <c r="J22" t="s">
        <v>16</v>
      </c>
      <c r="K22" s="2">
        <v>40749</v>
      </c>
      <c r="L22" s="3">
        <f>DATEDIF(HR_Data[[#This Row],[DOB]],HR_Data[[#This Row],[Date of Hire]],"Y")</f>
        <v>40</v>
      </c>
      <c r="N22" s="4" t="str">
        <f>IFERROR(DATEDIF(HR_Data[[#This Row],[Date of Hire]],HR_Data[[#This Row],[Date of Termination]],"Y"),"")</f>
        <v/>
      </c>
      <c r="O22" t="s">
        <v>6</v>
      </c>
      <c r="P22" t="s">
        <v>5</v>
      </c>
      <c r="Q22" t="s">
        <v>4</v>
      </c>
      <c r="R22" t="s">
        <v>45</v>
      </c>
      <c r="S22" t="s">
        <v>25</v>
      </c>
      <c r="T22" t="s">
        <v>1</v>
      </c>
      <c r="U22" s="5">
        <v>5</v>
      </c>
      <c r="V22" s="4">
        <v>3</v>
      </c>
      <c r="W22" s="4">
        <v>0</v>
      </c>
      <c r="X22" s="2">
        <v>43479</v>
      </c>
      <c r="Y22" s="4">
        <v>0</v>
      </c>
      <c r="Z22" s="4">
        <v>13</v>
      </c>
    </row>
    <row r="23" spans="1:26" x14ac:dyDescent="0.4">
      <c r="A23" t="s">
        <v>423</v>
      </c>
      <c r="B23" s="4">
        <v>10226</v>
      </c>
      <c r="C23" s="1">
        <v>64919</v>
      </c>
      <c r="D23" t="s">
        <v>11</v>
      </c>
      <c r="E23" t="s">
        <v>10</v>
      </c>
      <c r="F23" s="4">
        <v>2027</v>
      </c>
      <c r="G23" s="2">
        <v>21546</v>
      </c>
      <c r="H23" t="s">
        <v>9</v>
      </c>
      <c r="I23" t="s">
        <v>42</v>
      </c>
      <c r="J23" t="s">
        <v>7</v>
      </c>
      <c r="K23" s="2">
        <v>40750</v>
      </c>
      <c r="L23" s="3">
        <f>DATEDIF(HR_Data[[#This Row],[DOB]],HR_Data[[#This Row],[Date of Hire]],"Y")</f>
        <v>52</v>
      </c>
      <c r="N23" s="4" t="str">
        <f>IFERROR(DATEDIF(HR_Data[[#This Row],[Date of Hire]],HR_Data[[#This Row],[Date of Termination]],"Y"),"")</f>
        <v/>
      </c>
      <c r="O23" t="s">
        <v>6</v>
      </c>
      <c r="P23" t="s">
        <v>5</v>
      </c>
      <c r="Q23" t="s">
        <v>4</v>
      </c>
      <c r="R23" t="s">
        <v>38</v>
      </c>
      <c r="S23" t="s">
        <v>55</v>
      </c>
      <c r="T23" t="s">
        <v>1</v>
      </c>
      <c r="U23" s="5">
        <v>4.2</v>
      </c>
      <c r="V23" s="4">
        <v>3</v>
      </c>
      <c r="W23" s="4">
        <v>0</v>
      </c>
      <c r="X23" s="2">
        <v>43739</v>
      </c>
      <c r="Y23" s="4">
        <v>0</v>
      </c>
      <c r="Z23" s="4">
        <v>2</v>
      </c>
    </row>
    <row r="24" spans="1:26" x14ac:dyDescent="0.4">
      <c r="A24" t="s">
        <v>422</v>
      </c>
      <c r="B24" s="4">
        <v>10003</v>
      </c>
      <c r="C24" s="1">
        <v>62910</v>
      </c>
      <c r="D24" t="s">
        <v>11</v>
      </c>
      <c r="E24" t="s">
        <v>10</v>
      </c>
      <c r="F24" s="4">
        <v>2031</v>
      </c>
      <c r="G24" s="2">
        <v>32752</v>
      </c>
      <c r="H24" t="s">
        <v>9</v>
      </c>
      <c r="I24" t="s">
        <v>47</v>
      </c>
      <c r="J24" t="s">
        <v>16</v>
      </c>
      <c r="K24" s="2">
        <v>40751</v>
      </c>
      <c r="L24" s="3">
        <f>DATEDIF(HR_Data[[#This Row],[DOB]],HR_Data[[#This Row],[Date of Hire]],"Y")</f>
        <v>21</v>
      </c>
      <c r="N24" s="4" t="str">
        <f>IFERROR(DATEDIF(HR_Data[[#This Row],[Date of Hire]],HR_Data[[#This Row],[Date of Termination]],"Y"),"")</f>
        <v/>
      </c>
      <c r="O24" t="s">
        <v>6</v>
      </c>
      <c r="P24" t="s">
        <v>5</v>
      </c>
      <c r="Q24" t="s">
        <v>4</v>
      </c>
      <c r="R24" t="s">
        <v>26</v>
      </c>
      <c r="S24" t="s">
        <v>55</v>
      </c>
      <c r="T24" t="s">
        <v>20</v>
      </c>
      <c r="U24" s="5">
        <v>5</v>
      </c>
      <c r="V24" s="4">
        <v>3</v>
      </c>
      <c r="W24" s="4">
        <v>0</v>
      </c>
      <c r="X24" s="2">
        <v>43523</v>
      </c>
      <c r="Y24" s="4">
        <v>0</v>
      </c>
      <c r="Z24" s="4">
        <v>19</v>
      </c>
    </row>
    <row r="25" spans="1:26" x14ac:dyDescent="0.4">
      <c r="A25" t="s">
        <v>421</v>
      </c>
      <c r="B25" s="4">
        <v>10294</v>
      </c>
      <c r="C25" s="1">
        <v>66441</v>
      </c>
      <c r="D25" t="s">
        <v>32</v>
      </c>
      <c r="E25" t="s">
        <v>10</v>
      </c>
      <c r="F25" s="4">
        <v>2171</v>
      </c>
      <c r="G25" s="2">
        <v>33137</v>
      </c>
      <c r="H25" t="s">
        <v>9</v>
      </c>
      <c r="I25" t="s">
        <v>17</v>
      </c>
      <c r="J25" t="s">
        <v>16</v>
      </c>
      <c r="K25" s="2">
        <v>40752</v>
      </c>
      <c r="L25" s="3">
        <f>DATEDIF(HR_Data[[#This Row],[DOB]],HR_Data[[#This Row],[Date of Hire]],"Y")</f>
        <v>20</v>
      </c>
      <c r="N25" s="4" t="str">
        <f>IFERROR(DATEDIF(HR_Data[[#This Row],[Date of Hire]],HR_Data[[#This Row],[Date of Termination]],"Y"),"")</f>
        <v/>
      </c>
      <c r="O25" t="s">
        <v>6</v>
      </c>
      <c r="P25" t="s">
        <v>5</v>
      </c>
      <c r="Q25" t="s">
        <v>4</v>
      </c>
      <c r="R25" t="s">
        <v>67</v>
      </c>
      <c r="S25" t="s">
        <v>60</v>
      </c>
      <c r="T25" t="s">
        <v>59</v>
      </c>
      <c r="U25" s="5">
        <v>2</v>
      </c>
      <c r="V25" s="4">
        <v>3</v>
      </c>
      <c r="W25" s="4">
        <v>0</v>
      </c>
      <c r="X25" s="2">
        <v>43523</v>
      </c>
      <c r="Y25" s="4">
        <v>2</v>
      </c>
      <c r="Z25" s="4">
        <v>3</v>
      </c>
    </row>
    <row r="26" spans="1:26" x14ac:dyDescent="0.4">
      <c r="A26" t="s">
        <v>420</v>
      </c>
      <c r="B26" s="4">
        <v>10267</v>
      </c>
      <c r="C26" s="1">
        <v>57815</v>
      </c>
      <c r="D26" t="s">
        <v>32</v>
      </c>
      <c r="E26" t="s">
        <v>10</v>
      </c>
      <c r="F26" s="4">
        <v>2210</v>
      </c>
      <c r="G26" s="2">
        <v>24488</v>
      </c>
      <c r="H26" t="s">
        <v>9</v>
      </c>
      <c r="I26" t="s">
        <v>17</v>
      </c>
      <c r="J26" t="s">
        <v>16</v>
      </c>
      <c r="K26" s="2">
        <v>40753</v>
      </c>
      <c r="L26" s="3">
        <f>DATEDIF(HR_Data[[#This Row],[DOB]],HR_Data[[#This Row],[Date of Hire]],"Y")</f>
        <v>44</v>
      </c>
      <c r="M26" s="2">
        <v>41733</v>
      </c>
      <c r="N26" s="4">
        <f>IFERROR(DATEDIF(HR_Data[[#This Row],[Date of Hire]],HR_Data[[#This Row],[Date of Termination]],"Y"),"")</f>
        <v>2</v>
      </c>
      <c r="O26" t="s">
        <v>62</v>
      </c>
      <c r="P26" t="s">
        <v>27</v>
      </c>
      <c r="Q26" t="s">
        <v>4</v>
      </c>
      <c r="R26" t="s">
        <v>61</v>
      </c>
      <c r="S26" t="s">
        <v>25</v>
      </c>
      <c r="T26" t="s">
        <v>1</v>
      </c>
      <c r="U26" s="5">
        <v>4.8</v>
      </c>
      <c r="V26" s="4">
        <v>5</v>
      </c>
      <c r="W26" s="4">
        <v>0</v>
      </c>
      <c r="X26" s="2">
        <v>41732</v>
      </c>
      <c r="Y26" s="4">
        <v>0</v>
      </c>
      <c r="Z26" s="4">
        <v>5</v>
      </c>
    </row>
    <row r="27" spans="1:26" x14ac:dyDescent="0.4">
      <c r="A27" t="s">
        <v>419</v>
      </c>
      <c r="B27" s="4">
        <v>10199</v>
      </c>
      <c r="C27" s="1">
        <v>103613</v>
      </c>
      <c r="D27" t="s">
        <v>418</v>
      </c>
      <c r="E27" t="s">
        <v>243</v>
      </c>
      <c r="F27" s="4">
        <v>6033</v>
      </c>
      <c r="G27" s="2">
        <v>23588</v>
      </c>
      <c r="H27" t="s">
        <v>31</v>
      </c>
      <c r="I27" t="s">
        <v>17</v>
      </c>
      <c r="J27" t="s">
        <v>40</v>
      </c>
      <c r="K27" s="2">
        <v>40754</v>
      </c>
      <c r="L27" s="3">
        <f>DATEDIF(HR_Data[[#This Row],[DOB]],HR_Data[[#This Row],[Date of Hire]],"Y")</f>
        <v>47</v>
      </c>
      <c r="M27" s="2">
        <v>42419</v>
      </c>
      <c r="N27" s="4">
        <f>IFERROR(DATEDIF(HR_Data[[#This Row],[Date of Hire]],HR_Data[[#This Row],[Date of Termination]],"Y"),"")</f>
        <v>4</v>
      </c>
      <c r="O27" t="s">
        <v>417</v>
      </c>
      <c r="P27" t="s">
        <v>70</v>
      </c>
      <c r="Q27" t="s">
        <v>15</v>
      </c>
      <c r="R27" t="s">
        <v>14</v>
      </c>
      <c r="S27" t="s">
        <v>2</v>
      </c>
      <c r="T27" t="s">
        <v>1</v>
      </c>
      <c r="U27" s="5">
        <v>3.5</v>
      </c>
      <c r="V27" s="4">
        <v>5</v>
      </c>
      <c r="W27" s="4">
        <v>7</v>
      </c>
      <c r="X27" s="2">
        <v>42644</v>
      </c>
      <c r="Y27" s="4">
        <v>0</v>
      </c>
      <c r="Z27" s="4">
        <v>2</v>
      </c>
    </row>
    <row r="28" spans="1:26" x14ac:dyDescent="0.4">
      <c r="A28" t="s">
        <v>416</v>
      </c>
      <c r="B28" s="4">
        <v>10081</v>
      </c>
      <c r="C28" s="1">
        <v>106367</v>
      </c>
      <c r="D28" t="s">
        <v>332</v>
      </c>
      <c r="E28" t="s">
        <v>10</v>
      </c>
      <c r="F28" s="4">
        <v>2468</v>
      </c>
      <c r="G28" s="2">
        <v>31871</v>
      </c>
      <c r="H28" t="s">
        <v>9</v>
      </c>
      <c r="I28" t="s">
        <v>47</v>
      </c>
      <c r="J28" t="s">
        <v>40</v>
      </c>
      <c r="K28" s="2">
        <v>40755</v>
      </c>
      <c r="L28" s="3">
        <f>DATEDIF(HR_Data[[#This Row],[DOB]],HR_Data[[#This Row],[Date of Hire]],"Y")</f>
        <v>24</v>
      </c>
      <c r="N28" s="4" t="str">
        <f>IFERROR(DATEDIF(HR_Data[[#This Row],[Date of Hire]],HR_Data[[#This Row],[Date of Termination]],"Y"),"")</f>
        <v/>
      </c>
      <c r="O28" t="s">
        <v>6</v>
      </c>
      <c r="P28" t="s">
        <v>5</v>
      </c>
      <c r="Q28" t="s">
        <v>121</v>
      </c>
      <c r="R28" t="s">
        <v>120</v>
      </c>
      <c r="S28" t="s">
        <v>37</v>
      </c>
      <c r="T28" t="s">
        <v>1</v>
      </c>
      <c r="U28" s="5">
        <v>5</v>
      </c>
      <c r="V28" s="4">
        <v>4</v>
      </c>
      <c r="W28" s="4">
        <v>3</v>
      </c>
      <c r="X28" s="2">
        <v>43514</v>
      </c>
      <c r="Y28" s="4">
        <v>0</v>
      </c>
      <c r="Z28" s="4">
        <v>4</v>
      </c>
    </row>
    <row r="29" spans="1:26" x14ac:dyDescent="0.4">
      <c r="A29" t="s">
        <v>415</v>
      </c>
      <c r="B29" s="4">
        <v>10175</v>
      </c>
      <c r="C29" s="1">
        <v>74312</v>
      </c>
      <c r="D29" t="s">
        <v>64</v>
      </c>
      <c r="E29" t="s">
        <v>10</v>
      </c>
      <c r="F29" s="4">
        <v>1901</v>
      </c>
      <c r="G29" s="2">
        <v>25637</v>
      </c>
      <c r="H29" t="s">
        <v>31</v>
      </c>
      <c r="I29" t="s">
        <v>17</v>
      </c>
      <c r="J29" t="s">
        <v>7</v>
      </c>
      <c r="K29" s="2">
        <v>40756</v>
      </c>
      <c r="L29" s="3">
        <f>DATEDIF(HR_Data[[#This Row],[DOB]],HR_Data[[#This Row],[Date of Hire]],"Y")</f>
        <v>41</v>
      </c>
      <c r="M29" s="2">
        <v>41858</v>
      </c>
      <c r="N29" s="4">
        <f>IFERROR(DATEDIF(HR_Data[[#This Row],[Date of Hire]],HR_Data[[#This Row],[Date of Termination]],"Y"),"")</f>
        <v>3</v>
      </c>
      <c r="O29" t="s">
        <v>35</v>
      </c>
      <c r="P29" t="s">
        <v>27</v>
      </c>
      <c r="Q29" t="s">
        <v>4</v>
      </c>
      <c r="R29" t="s">
        <v>21</v>
      </c>
      <c r="S29" t="s">
        <v>55</v>
      </c>
      <c r="T29" t="s">
        <v>1</v>
      </c>
      <c r="U29" s="5">
        <v>3.39</v>
      </c>
      <c r="V29" s="4">
        <v>3</v>
      </c>
      <c r="W29" s="4">
        <v>0</v>
      </c>
      <c r="X29" s="2">
        <v>41690</v>
      </c>
      <c r="Y29" s="4">
        <v>0</v>
      </c>
      <c r="Z29" s="4">
        <v>14</v>
      </c>
    </row>
    <row r="30" spans="1:26" x14ac:dyDescent="0.4">
      <c r="A30" t="s">
        <v>414</v>
      </c>
      <c r="B30" s="4">
        <v>10177</v>
      </c>
      <c r="C30" s="1">
        <v>53492</v>
      </c>
      <c r="D30" t="s">
        <v>11</v>
      </c>
      <c r="E30" t="s">
        <v>10</v>
      </c>
      <c r="F30" s="4">
        <v>1701</v>
      </c>
      <c r="G30" s="2">
        <v>33109</v>
      </c>
      <c r="H30" t="s">
        <v>9</v>
      </c>
      <c r="I30" t="s">
        <v>47</v>
      </c>
      <c r="J30" t="s">
        <v>16</v>
      </c>
      <c r="K30" s="2">
        <v>40757</v>
      </c>
      <c r="L30" s="3">
        <f>DATEDIF(HR_Data[[#This Row],[DOB]],HR_Data[[#This Row],[Date of Hire]],"Y")</f>
        <v>20</v>
      </c>
      <c r="M30" s="2">
        <v>41440</v>
      </c>
      <c r="N30" s="4">
        <f>IFERROR(DATEDIF(HR_Data[[#This Row],[Date of Hire]],HR_Data[[#This Row],[Date of Termination]],"Y"),"")</f>
        <v>1</v>
      </c>
      <c r="O30" t="s">
        <v>28</v>
      </c>
      <c r="P30" t="s">
        <v>27</v>
      </c>
      <c r="Q30" t="s">
        <v>4</v>
      </c>
      <c r="R30" t="s">
        <v>3</v>
      </c>
      <c r="S30" t="s">
        <v>25</v>
      </c>
      <c r="T30" t="s">
        <v>1</v>
      </c>
      <c r="U30" s="5">
        <v>3.35</v>
      </c>
      <c r="V30" s="4">
        <v>4</v>
      </c>
      <c r="W30" s="4">
        <v>0</v>
      </c>
      <c r="X30" s="2">
        <v>41367</v>
      </c>
      <c r="Y30" s="4">
        <v>0</v>
      </c>
      <c r="Z30" s="4">
        <v>6</v>
      </c>
    </row>
    <row r="31" spans="1:26" x14ac:dyDescent="0.4">
      <c r="A31" t="s">
        <v>413</v>
      </c>
      <c r="B31" s="4">
        <v>10238</v>
      </c>
      <c r="C31" s="1">
        <v>63000</v>
      </c>
      <c r="D31" t="s">
        <v>122</v>
      </c>
      <c r="E31" t="s">
        <v>10</v>
      </c>
      <c r="F31" s="4">
        <v>1450</v>
      </c>
      <c r="G31" s="2">
        <v>32105</v>
      </c>
      <c r="H31" t="s">
        <v>9</v>
      </c>
      <c r="I31" t="s">
        <v>47</v>
      </c>
      <c r="J31" t="s">
        <v>40</v>
      </c>
      <c r="K31" s="2">
        <v>40758</v>
      </c>
      <c r="L31" s="3">
        <f>DATEDIF(HR_Data[[#This Row],[DOB]],HR_Data[[#This Row],[Date of Hire]],"Y")</f>
        <v>23</v>
      </c>
      <c r="N31" s="4" t="str">
        <f>IFERROR(DATEDIF(HR_Data[[#This Row],[Date of Hire]],HR_Data[[#This Row],[Date of Termination]],"Y"),"")</f>
        <v/>
      </c>
      <c r="O31" t="s">
        <v>6</v>
      </c>
      <c r="P31" t="s">
        <v>5</v>
      </c>
      <c r="Q31" t="s">
        <v>121</v>
      </c>
      <c r="R31" t="s">
        <v>120</v>
      </c>
      <c r="S31" t="s">
        <v>37</v>
      </c>
      <c r="T31" t="s">
        <v>1</v>
      </c>
      <c r="U31" s="5">
        <v>4.5</v>
      </c>
      <c r="V31" s="4">
        <v>2</v>
      </c>
      <c r="W31" s="4">
        <v>6</v>
      </c>
      <c r="X31" s="2">
        <v>43480</v>
      </c>
      <c r="Y31" s="4">
        <v>0</v>
      </c>
      <c r="Z31" s="4">
        <v>14</v>
      </c>
    </row>
    <row r="32" spans="1:26" x14ac:dyDescent="0.4">
      <c r="A32" t="s">
        <v>412</v>
      </c>
      <c r="B32" s="4">
        <v>10184</v>
      </c>
      <c r="C32" s="1">
        <v>65288</v>
      </c>
      <c r="D32" t="s">
        <v>32</v>
      </c>
      <c r="E32" t="s">
        <v>10</v>
      </c>
      <c r="F32" s="4">
        <v>1013</v>
      </c>
      <c r="G32" s="2">
        <v>30525</v>
      </c>
      <c r="H32" t="s">
        <v>31</v>
      </c>
      <c r="I32" t="s">
        <v>17</v>
      </c>
      <c r="J32" t="s">
        <v>16</v>
      </c>
      <c r="K32" s="2">
        <v>40759</v>
      </c>
      <c r="L32" s="3">
        <f>DATEDIF(HR_Data[[#This Row],[DOB]],HR_Data[[#This Row],[Date of Hire]],"Y")</f>
        <v>28</v>
      </c>
      <c r="N32" s="4" t="str">
        <f>IFERROR(DATEDIF(HR_Data[[#This Row],[Date of Hire]],HR_Data[[#This Row],[Date of Termination]],"Y"),"")</f>
        <v/>
      </c>
      <c r="O32" t="s">
        <v>6</v>
      </c>
      <c r="P32" t="s">
        <v>5</v>
      </c>
      <c r="Q32" t="s">
        <v>4</v>
      </c>
      <c r="R32" t="s">
        <v>49</v>
      </c>
      <c r="S32" t="s">
        <v>25</v>
      </c>
      <c r="T32" t="s">
        <v>1</v>
      </c>
      <c r="U32" s="5">
        <v>3.19</v>
      </c>
      <c r="V32" s="4">
        <v>3</v>
      </c>
      <c r="W32" s="4">
        <v>0</v>
      </c>
      <c r="X32" s="2">
        <v>43467</v>
      </c>
      <c r="Y32" s="4">
        <v>0</v>
      </c>
      <c r="Z32" s="4">
        <v>9</v>
      </c>
    </row>
    <row r="33" spans="1:26" x14ac:dyDescent="0.4">
      <c r="A33" t="s">
        <v>411</v>
      </c>
      <c r="B33" s="4">
        <v>10203</v>
      </c>
      <c r="C33" s="1">
        <v>64375</v>
      </c>
      <c r="D33" t="s">
        <v>11</v>
      </c>
      <c r="E33" t="s">
        <v>10</v>
      </c>
      <c r="F33" s="4">
        <v>2043</v>
      </c>
      <c r="G33" s="2">
        <v>25506</v>
      </c>
      <c r="H33" t="s">
        <v>9</v>
      </c>
      <c r="I33" t="s">
        <v>98</v>
      </c>
      <c r="J33" t="s">
        <v>40</v>
      </c>
      <c r="K33" s="2">
        <v>40760</v>
      </c>
      <c r="L33" s="3">
        <f>DATEDIF(HR_Data[[#This Row],[DOB]],HR_Data[[#This Row],[Date of Hire]],"Y")</f>
        <v>41</v>
      </c>
      <c r="N33" s="4" t="str">
        <f>IFERROR(DATEDIF(HR_Data[[#This Row],[Date of Hire]],HR_Data[[#This Row],[Date of Termination]],"Y"),"")</f>
        <v/>
      </c>
      <c r="O33" t="s">
        <v>6</v>
      </c>
      <c r="P33" t="s">
        <v>5</v>
      </c>
      <c r="Q33" t="s">
        <v>4</v>
      </c>
      <c r="R33" t="s">
        <v>30</v>
      </c>
      <c r="S33" t="s">
        <v>37</v>
      </c>
      <c r="T33" t="s">
        <v>1</v>
      </c>
      <c r="U33" s="5">
        <v>3.5</v>
      </c>
      <c r="V33" s="4">
        <v>5</v>
      </c>
      <c r="W33" s="4">
        <v>0</v>
      </c>
      <c r="X33" s="2">
        <v>43486</v>
      </c>
      <c r="Y33" s="4">
        <v>0</v>
      </c>
      <c r="Z33" s="4">
        <v>17</v>
      </c>
    </row>
    <row r="34" spans="1:26" x14ac:dyDescent="0.4">
      <c r="A34" t="s">
        <v>410</v>
      </c>
      <c r="B34" s="4">
        <v>10188</v>
      </c>
      <c r="C34" s="1">
        <v>74326</v>
      </c>
      <c r="D34" t="s">
        <v>79</v>
      </c>
      <c r="E34" t="s">
        <v>409</v>
      </c>
      <c r="F34" s="4">
        <v>21851</v>
      </c>
      <c r="G34" s="2">
        <v>23529</v>
      </c>
      <c r="H34" t="s">
        <v>9</v>
      </c>
      <c r="I34" t="s">
        <v>47</v>
      </c>
      <c r="J34" t="s">
        <v>40</v>
      </c>
      <c r="K34" s="2">
        <v>40761</v>
      </c>
      <c r="L34" s="3">
        <f>DATEDIF(HR_Data[[#This Row],[DOB]],HR_Data[[#This Row],[Date of Hire]],"Y")</f>
        <v>47</v>
      </c>
      <c r="M34" s="2">
        <v>41853</v>
      </c>
      <c r="N34" s="4">
        <f>IFERROR(DATEDIF(HR_Data[[#This Row],[Date of Hire]],HR_Data[[#This Row],[Date of Termination]],"Y"),"")</f>
        <v>2</v>
      </c>
      <c r="O34" t="s">
        <v>28</v>
      </c>
      <c r="P34" t="s">
        <v>27</v>
      </c>
      <c r="Q34" t="s">
        <v>77</v>
      </c>
      <c r="R34" t="s">
        <v>76</v>
      </c>
      <c r="S34" t="s">
        <v>25</v>
      </c>
      <c r="T34" t="s">
        <v>1</v>
      </c>
      <c r="U34" s="5">
        <v>3.14</v>
      </c>
      <c r="V34" s="4">
        <v>5</v>
      </c>
      <c r="W34" s="4">
        <v>0</v>
      </c>
      <c r="X34" s="2">
        <v>41549</v>
      </c>
      <c r="Y34" s="4">
        <v>1</v>
      </c>
      <c r="Z34" s="4">
        <v>19</v>
      </c>
    </row>
    <row r="35" spans="1:26" x14ac:dyDescent="0.4">
      <c r="A35" t="s">
        <v>408</v>
      </c>
      <c r="B35" s="4">
        <v>10107</v>
      </c>
      <c r="C35" s="1">
        <v>63763</v>
      </c>
      <c r="D35" t="s">
        <v>32</v>
      </c>
      <c r="E35" t="s">
        <v>10</v>
      </c>
      <c r="F35" s="4">
        <v>2148</v>
      </c>
      <c r="G35" s="2">
        <v>29282</v>
      </c>
      <c r="H35" t="s">
        <v>9</v>
      </c>
      <c r="I35" t="s">
        <v>17</v>
      </c>
      <c r="J35" t="s">
        <v>40</v>
      </c>
      <c r="K35" s="2">
        <v>40762</v>
      </c>
      <c r="L35" s="3">
        <f>DATEDIF(HR_Data[[#This Row],[DOB]],HR_Data[[#This Row],[Date of Hire]],"Y")</f>
        <v>31</v>
      </c>
      <c r="N35" s="4" t="str">
        <f>IFERROR(DATEDIF(HR_Data[[#This Row],[Date of Hire]],HR_Data[[#This Row],[Date of Termination]],"Y"),"")</f>
        <v/>
      </c>
      <c r="O35" t="s">
        <v>6</v>
      </c>
      <c r="P35" t="s">
        <v>5</v>
      </c>
      <c r="Q35" t="s">
        <v>4</v>
      </c>
      <c r="R35" t="s">
        <v>45</v>
      </c>
      <c r="S35" t="s">
        <v>13</v>
      </c>
      <c r="T35" t="s">
        <v>1</v>
      </c>
      <c r="U35" s="5">
        <v>4.51</v>
      </c>
      <c r="V35" s="4">
        <v>4</v>
      </c>
      <c r="W35" s="4">
        <v>0</v>
      </c>
      <c r="X35" s="2">
        <v>43517</v>
      </c>
      <c r="Y35" s="4">
        <v>0</v>
      </c>
      <c r="Z35" s="4">
        <v>3</v>
      </c>
    </row>
    <row r="36" spans="1:26" x14ac:dyDescent="0.4">
      <c r="A36" t="s">
        <v>407</v>
      </c>
      <c r="B36" s="4">
        <v>10181</v>
      </c>
      <c r="C36" s="1">
        <v>62162</v>
      </c>
      <c r="D36" t="s">
        <v>32</v>
      </c>
      <c r="E36" t="s">
        <v>10</v>
      </c>
      <c r="F36" s="4">
        <v>1890</v>
      </c>
      <c r="G36" s="2">
        <v>28356</v>
      </c>
      <c r="H36" t="s">
        <v>31</v>
      </c>
      <c r="I36" t="s">
        <v>47</v>
      </c>
      <c r="J36" t="s">
        <v>16</v>
      </c>
      <c r="K36" s="2">
        <v>40763</v>
      </c>
      <c r="L36" s="3">
        <f>DATEDIF(HR_Data[[#This Row],[DOB]],HR_Data[[#This Row],[Date of Hire]],"Y")</f>
        <v>33</v>
      </c>
      <c r="N36" s="4" t="str">
        <f>IFERROR(DATEDIF(HR_Data[[#This Row],[Date of Hire]],HR_Data[[#This Row],[Date of Termination]],"Y"),"")</f>
        <v/>
      </c>
      <c r="O36" t="s">
        <v>6</v>
      </c>
      <c r="P36" t="s">
        <v>5</v>
      </c>
      <c r="Q36" t="s">
        <v>4</v>
      </c>
      <c r="R36" t="s">
        <v>38</v>
      </c>
      <c r="S36" t="s">
        <v>55</v>
      </c>
      <c r="T36" t="s">
        <v>1</v>
      </c>
      <c r="U36" s="5">
        <v>3.25</v>
      </c>
      <c r="V36" s="4">
        <v>5</v>
      </c>
      <c r="W36" s="4">
        <v>0</v>
      </c>
      <c r="X36" s="2">
        <v>43479</v>
      </c>
      <c r="Y36" s="4">
        <v>0</v>
      </c>
      <c r="Z36" s="4">
        <v>15</v>
      </c>
    </row>
    <row r="37" spans="1:26" x14ac:dyDescent="0.4">
      <c r="A37" t="s">
        <v>406</v>
      </c>
      <c r="B37" s="4">
        <v>10150</v>
      </c>
      <c r="C37" s="1">
        <v>77692</v>
      </c>
      <c r="D37" t="s">
        <v>405</v>
      </c>
      <c r="E37" t="s">
        <v>10</v>
      </c>
      <c r="F37" s="4">
        <v>2184</v>
      </c>
      <c r="G37" s="2">
        <v>24433</v>
      </c>
      <c r="H37" t="s">
        <v>31</v>
      </c>
      <c r="I37" t="s">
        <v>17</v>
      </c>
      <c r="J37" t="s">
        <v>16</v>
      </c>
      <c r="K37" s="2">
        <v>40764</v>
      </c>
      <c r="L37" s="3">
        <f>DATEDIF(HR_Data[[#This Row],[DOB]],HR_Data[[#This Row],[Date of Hire]],"Y")</f>
        <v>44</v>
      </c>
      <c r="N37" s="4" t="str">
        <f>IFERROR(DATEDIF(HR_Data[[#This Row],[Date of Hire]],HR_Data[[#This Row],[Date of Termination]],"Y"),"")</f>
        <v/>
      </c>
      <c r="O37" t="s">
        <v>6</v>
      </c>
      <c r="P37" t="s">
        <v>5</v>
      </c>
      <c r="Q37" t="s">
        <v>91</v>
      </c>
      <c r="R37" t="s">
        <v>154</v>
      </c>
      <c r="S37" t="s">
        <v>25</v>
      </c>
      <c r="T37" t="s">
        <v>1</v>
      </c>
      <c r="U37" s="5">
        <v>3.84</v>
      </c>
      <c r="V37" s="4">
        <v>3</v>
      </c>
      <c r="W37" s="4">
        <v>5</v>
      </c>
      <c r="X37" s="2">
        <v>43486</v>
      </c>
      <c r="Y37" s="4">
        <v>0</v>
      </c>
      <c r="Z37" s="4">
        <v>4</v>
      </c>
    </row>
    <row r="38" spans="1:26" x14ac:dyDescent="0.4">
      <c r="A38" t="s">
        <v>404</v>
      </c>
      <c r="B38" s="4">
        <v>10001</v>
      </c>
      <c r="C38" s="1">
        <v>72640</v>
      </c>
      <c r="D38" t="s">
        <v>64</v>
      </c>
      <c r="E38" t="s">
        <v>10</v>
      </c>
      <c r="F38" s="4">
        <v>2169</v>
      </c>
      <c r="G38" s="2">
        <v>30537</v>
      </c>
      <c r="H38" t="s">
        <v>31</v>
      </c>
      <c r="I38" t="s">
        <v>17</v>
      </c>
      <c r="J38" t="s">
        <v>16</v>
      </c>
      <c r="K38" s="2">
        <v>40765</v>
      </c>
      <c r="L38" s="3">
        <f>DATEDIF(HR_Data[[#This Row],[DOB]],HR_Data[[#This Row],[Date of Hire]],"Y")</f>
        <v>28</v>
      </c>
      <c r="N38" s="4" t="str">
        <f>IFERROR(DATEDIF(HR_Data[[#This Row],[Date of Hire]],HR_Data[[#This Row],[Date of Termination]],"Y"),"")</f>
        <v/>
      </c>
      <c r="O38" t="s">
        <v>6</v>
      </c>
      <c r="P38" t="s">
        <v>5</v>
      </c>
      <c r="Q38" t="s">
        <v>4</v>
      </c>
      <c r="R38" t="s">
        <v>21</v>
      </c>
      <c r="S38" t="s">
        <v>55</v>
      </c>
      <c r="T38" t="s">
        <v>20</v>
      </c>
      <c r="U38" s="5">
        <v>5</v>
      </c>
      <c r="V38" s="4">
        <v>3</v>
      </c>
      <c r="W38" s="4">
        <v>0</v>
      </c>
      <c r="X38" s="2">
        <v>43518</v>
      </c>
      <c r="Y38" s="4">
        <v>0</v>
      </c>
      <c r="Z38" s="4">
        <v>14</v>
      </c>
    </row>
    <row r="39" spans="1:26" x14ac:dyDescent="0.4">
      <c r="A39" t="s">
        <v>403</v>
      </c>
      <c r="B39" s="4">
        <v>10085</v>
      </c>
      <c r="C39" s="1">
        <v>93396</v>
      </c>
      <c r="D39" t="s">
        <v>93</v>
      </c>
      <c r="E39" t="s">
        <v>10</v>
      </c>
      <c r="F39" s="4">
        <v>2132</v>
      </c>
      <c r="G39" s="2">
        <v>31872</v>
      </c>
      <c r="H39" t="s">
        <v>9</v>
      </c>
      <c r="I39" t="s">
        <v>17</v>
      </c>
      <c r="J39" t="s">
        <v>16</v>
      </c>
      <c r="K39" s="2">
        <v>40766</v>
      </c>
      <c r="L39" s="3">
        <f>DATEDIF(HR_Data[[#This Row],[DOB]],HR_Data[[#This Row],[Date of Hire]],"Y")</f>
        <v>24</v>
      </c>
      <c r="N39" s="4" t="str">
        <f>IFERROR(DATEDIF(HR_Data[[#This Row],[Date of Hire]],HR_Data[[#This Row],[Date of Termination]],"Y"),"")</f>
        <v/>
      </c>
      <c r="O39" t="s">
        <v>6</v>
      </c>
      <c r="P39" t="s">
        <v>5</v>
      </c>
      <c r="Q39" t="s">
        <v>91</v>
      </c>
      <c r="R39" t="s">
        <v>90</v>
      </c>
      <c r="S39" t="s">
        <v>55</v>
      </c>
      <c r="T39" t="s">
        <v>1</v>
      </c>
      <c r="U39" s="5">
        <v>4.96</v>
      </c>
      <c r="V39" s="4">
        <v>4</v>
      </c>
      <c r="W39" s="4">
        <v>6</v>
      </c>
      <c r="X39" s="2">
        <v>43495</v>
      </c>
      <c r="Y39" s="4">
        <v>0</v>
      </c>
      <c r="Z39" s="4">
        <v>3</v>
      </c>
    </row>
    <row r="40" spans="1:26" x14ac:dyDescent="0.4">
      <c r="A40" t="s">
        <v>402</v>
      </c>
      <c r="B40" s="4">
        <v>10115</v>
      </c>
      <c r="C40" s="1">
        <v>52846</v>
      </c>
      <c r="D40" t="s">
        <v>11</v>
      </c>
      <c r="E40" t="s">
        <v>10</v>
      </c>
      <c r="F40" s="4">
        <v>1701</v>
      </c>
      <c r="G40" s="2">
        <v>30349</v>
      </c>
      <c r="H40" t="s">
        <v>31</v>
      </c>
      <c r="I40" t="s">
        <v>17</v>
      </c>
      <c r="J40" t="s">
        <v>40</v>
      </c>
      <c r="K40" s="2">
        <v>40767</v>
      </c>
      <c r="L40" s="3">
        <f>DATEDIF(HR_Data[[#This Row],[DOB]],HR_Data[[#This Row],[Date of Hire]],"Y")</f>
        <v>28</v>
      </c>
      <c r="N40" s="4" t="str">
        <f>IFERROR(DATEDIF(HR_Data[[#This Row],[Date of Hire]],HR_Data[[#This Row],[Date of Termination]],"Y"),"")</f>
        <v/>
      </c>
      <c r="O40" t="s">
        <v>6</v>
      </c>
      <c r="P40" t="s">
        <v>5</v>
      </c>
      <c r="Q40" t="s">
        <v>4</v>
      </c>
      <c r="R40" t="s">
        <v>69</v>
      </c>
      <c r="S40" t="s">
        <v>2</v>
      </c>
      <c r="T40" t="s">
        <v>1</v>
      </c>
      <c r="U40" s="5">
        <v>4.43</v>
      </c>
      <c r="V40" s="4">
        <v>3</v>
      </c>
      <c r="W40" s="4">
        <v>0</v>
      </c>
      <c r="X40" s="2">
        <v>43467</v>
      </c>
      <c r="Y40" s="4">
        <v>0</v>
      </c>
      <c r="Z40" s="4">
        <v>14</v>
      </c>
    </row>
    <row r="41" spans="1:26" x14ac:dyDescent="0.4">
      <c r="A41" t="s">
        <v>401</v>
      </c>
      <c r="B41" s="4">
        <v>10082</v>
      </c>
      <c r="C41" s="1">
        <v>100031</v>
      </c>
      <c r="D41" t="s">
        <v>400</v>
      </c>
      <c r="E41" t="s">
        <v>10</v>
      </c>
      <c r="F41" s="4">
        <v>1886</v>
      </c>
      <c r="G41" s="2">
        <v>31569</v>
      </c>
      <c r="H41" t="s">
        <v>9</v>
      </c>
      <c r="I41" t="s">
        <v>17</v>
      </c>
      <c r="J41" t="s">
        <v>40</v>
      </c>
      <c r="K41" s="2">
        <v>40768</v>
      </c>
      <c r="L41" s="3">
        <f>DATEDIF(HR_Data[[#This Row],[DOB]],HR_Data[[#This Row],[Date of Hire]],"Y")</f>
        <v>25</v>
      </c>
      <c r="N41" s="4" t="str">
        <f>IFERROR(DATEDIF(HR_Data[[#This Row],[Date of Hire]],HR_Data[[#This Row],[Date of Termination]],"Y"),"")</f>
        <v/>
      </c>
      <c r="O41" t="s">
        <v>6</v>
      </c>
      <c r="P41" t="s">
        <v>5</v>
      </c>
      <c r="Q41" t="s">
        <v>15</v>
      </c>
      <c r="R41" t="s">
        <v>14</v>
      </c>
      <c r="S41" t="s">
        <v>2</v>
      </c>
      <c r="T41" t="s">
        <v>1</v>
      </c>
      <c r="U41" s="5">
        <v>5</v>
      </c>
      <c r="V41" s="4">
        <v>5</v>
      </c>
      <c r="W41" s="4">
        <v>6</v>
      </c>
      <c r="X41" s="2">
        <v>43514</v>
      </c>
      <c r="Y41" s="4">
        <v>0</v>
      </c>
      <c r="Z41" s="4">
        <v>7</v>
      </c>
    </row>
    <row r="42" spans="1:26" x14ac:dyDescent="0.4">
      <c r="A42" t="s">
        <v>399</v>
      </c>
      <c r="B42" s="4">
        <v>10040</v>
      </c>
      <c r="C42" s="1">
        <v>71860</v>
      </c>
      <c r="D42" t="s">
        <v>79</v>
      </c>
      <c r="E42" t="s">
        <v>376</v>
      </c>
      <c r="F42" s="4">
        <v>5664</v>
      </c>
      <c r="G42" s="2">
        <v>23146</v>
      </c>
      <c r="H42" t="s">
        <v>9</v>
      </c>
      <c r="I42" t="s">
        <v>17</v>
      </c>
      <c r="J42" t="s">
        <v>16</v>
      </c>
      <c r="K42" s="2">
        <v>40769</v>
      </c>
      <c r="L42" s="3">
        <f>DATEDIF(HR_Data[[#This Row],[DOB]],HR_Data[[#This Row],[Date of Hire]],"Y")</f>
        <v>48</v>
      </c>
      <c r="N42" s="4" t="str">
        <f>IFERROR(DATEDIF(HR_Data[[#This Row],[Date of Hire]],HR_Data[[#This Row],[Date of Termination]],"Y"),"")</f>
        <v/>
      </c>
      <c r="O42" t="s">
        <v>6</v>
      </c>
      <c r="P42" t="s">
        <v>5</v>
      </c>
      <c r="Q42" t="s">
        <v>77</v>
      </c>
      <c r="R42" t="s">
        <v>76</v>
      </c>
      <c r="S42" t="s">
        <v>55</v>
      </c>
      <c r="T42" t="s">
        <v>1</v>
      </c>
      <c r="U42" s="5">
        <v>5</v>
      </c>
      <c r="V42" s="4">
        <v>5</v>
      </c>
      <c r="W42" s="4">
        <v>0</v>
      </c>
      <c r="X42" s="2">
        <v>43486</v>
      </c>
      <c r="Y42" s="4">
        <v>0</v>
      </c>
      <c r="Z42" s="4">
        <v>7</v>
      </c>
    </row>
    <row r="43" spans="1:26" x14ac:dyDescent="0.4">
      <c r="A43" t="s">
        <v>398</v>
      </c>
      <c r="B43" s="4">
        <v>10067</v>
      </c>
      <c r="C43" s="1">
        <v>61656</v>
      </c>
      <c r="D43" t="s">
        <v>11</v>
      </c>
      <c r="E43" t="s">
        <v>10</v>
      </c>
      <c r="F43" s="4">
        <v>2763</v>
      </c>
      <c r="G43" s="2">
        <v>18630</v>
      </c>
      <c r="H43" t="s">
        <v>9</v>
      </c>
      <c r="I43" t="s">
        <v>17</v>
      </c>
      <c r="J43" t="s">
        <v>16</v>
      </c>
      <c r="K43" s="2">
        <v>40770</v>
      </c>
      <c r="L43" s="3">
        <f>DATEDIF(HR_Data[[#This Row],[DOB]],HR_Data[[#This Row],[Date of Hire]],"Y")</f>
        <v>60</v>
      </c>
      <c r="N43" s="4" t="str">
        <f>IFERROR(DATEDIF(HR_Data[[#This Row],[Date of Hire]],HR_Data[[#This Row],[Date of Termination]],"Y"),"")</f>
        <v/>
      </c>
      <c r="O43" t="s">
        <v>6</v>
      </c>
      <c r="P43" t="s">
        <v>5</v>
      </c>
      <c r="Q43" t="s">
        <v>4</v>
      </c>
      <c r="R43" t="s">
        <v>67</v>
      </c>
      <c r="S43" t="s">
        <v>25</v>
      </c>
      <c r="T43" t="s">
        <v>1</v>
      </c>
      <c r="U43" s="5">
        <v>5</v>
      </c>
      <c r="V43" s="4">
        <v>4</v>
      </c>
      <c r="W43" s="4">
        <v>0</v>
      </c>
      <c r="X43" s="2">
        <v>43801</v>
      </c>
      <c r="Y43" s="4">
        <v>0</v>
      </c>
      <c r="Z43" s="4">
        <v>11</v>
      </c>
    </row>
    <row r="44" spans="1:26" x14ac:dyDescent="0.4">
      <c r="A44" t="s">
        <v>397</v>
      </c>
      <c r="B44" s="4">
        <v>10108</v>
      </c>
      <c r="C44" s="1">
        <v>110929</v>
      </c>
      <c r="D44" t="s">
        <v>396</v>
      </c>
      <c r="E44" t="s">
        <v>10</v>
      </c>
      <c r="F44" s="4">
        <v>2045</v>
      </c>
      <c r="G44" s="2">
        <v>26338</v>
      </c>
      <c r="H44" t="s">
        <v>31</v>
      </c>
      <c r="I44" t="s">
        <v>47</v>
      </c>
      <c r="J44" t="s">
        <v>16</v>
      </c>
      <c r="K44" s="2">
        <v>40771</v>
      </c>
      <c r="L44" s="3">
        <f>DATEDIF(HR_Data[[#This Row],[DOB]],HR_Data[[#This Row],[Date of Hire]],"Y")</f>
        <v>39</v>
      </c>
      <c r="N44" s="4" t="str">
        <f>IFERROR(DATEDIF(HR_Data[[#This Row],[Date of Hire]],HR_Data[[#This Row],[Date of Termination]],"Y"),"")</f>
        <v/>
      </c>
      <c r="O44" t="s">
        <v>6</v>
      </c>
      <c r="P44" t="s">
        <v>5</v>
      </c>
      <c r="Q44" t="s">
        <v>15</v>
      </c>
      <c r="R44" t="s">
        <v>154</v>
      </c>
      <c r="S44" t="s">
        <v>55</v>
      </c>
      <c r="T44" t="s">
        <v>1</v>
      </c>
      <c r="U44" s="5">
        <v>4.5</v>
      </c>
      <c r="V44" s="4">
        <v>5</v>
      </c>
      <c r="W44" s="4">
        <v>7</v>
      </c>
      <c r="X44" s="2">
        <v>43480</v>
      </c>
      <c r="Y44" s="4">
        <v>0</v>
      </c>
      <c r="Z44" s="4">
        <v>8</v>
      </c>
    </row>
    <row r="45" spans="1:26" x14ac:dyDescent="0.4">
      <c r="A45" t="s">
        <v>395</v>
      </c>
      <c r="B45" s="4">
        <v>10210</v>
      </c>
      <c r="C45" s="1">
        <v>54237</v>
      </c>
      <c r="D45" t="s">
        <v>11</v>
      </c>
      <c r="E45" t="s">
        <v>10</v>
      </c>
      <c r="F45" s="4">
        <v>2170</v>
      </c>
      <c r="G45" s="2">
        <v>28898</v>
      </c>
      <c r="H45" t="s">
        <v>9</v>
      </c>
      <c r="I45" t="s">
        <v>17</v>
      </c>
      <c r="J45" t="s">
        <v>16</v>
      </c>
      <c r="K45" s="2">
        <v>40772</v>
      </c>
      <c r="L45" s="3">
        <f>DATEDIF(HR_Data[[#This Row],[DOB]],HR_Data[[#This Row],[Date of Hire]],"Y")</f>
        <v>32</v>
      </c>
      <c r="N45" s="4" t="str">
        <f>IFERROR(DATEDIF(HR_Data[[#This Row],[Date of Hire]],HR_Data[[#This Row],[Date of Termination]],"Y"),"")</f>
        <v/>
      </c>
      <c r="O45" t="s">
        <v>6</v>
      </c>
      <c r="P45" t="s">
        <v>5</v>
      </c>
      <c r="Q45" t="s">
        <v>4</v>
      </c>
      <c r="R45" t="s">
        <v>61</v>
      </c>
      <c r="S45" t="s">
        <v>55</v>
      </c>
      <c r="T45" t="s">
        <v>1</v>
      </c>
      <c r="U45" s="5">
        <v>3.3</v>
      </c>
      <c r="V45" s="4">
        <v>4</v>
      </c>
      <c r="W45" s="4">
        <v>0</v>
      </c>
      <c r="X45" s="2">
        <v>43515</v>
      </c>
      <c r="Y45" s="4">
        <v>0</v>
      </c>
      <c r="Z45" s="4">
        <v>11</v>
      </c>
    </row>
    <row r="46" spans="1:26" x14ac:dyDescent="0.4">
      <c r="A46" t="s">
        <v>394</v>
      </c>
      <c r="B46" s="4">
        <v>10154</v>
      </c>
      <c r="C46" s="1">
        <v>60380</v>
      </c>
      <c r="D46" t="s">
        <v>11</v>
      </c>
      <c r="E46" t="s">
        <v>10</v>
      </c>
      <c r="F46" s="4">
        <v>1845</v>
      </c>
      <c r="G46" s="2">
        <v>30552</v>
      </c>
      <c r="H46" t="s">
        <v>31</v>
      </c>
      <c r="I46" t="s">
        <v>17</v>
      </c>
      <c r="J46" t="s">
        <v>16</v>
      </c>
      <c r="K46" s="2">
        <v>40773</v>
      </c>
      <c r="L46" s="3">
        <f>DATEDIF(HR_Data[[#This Row],[DOB]],HR_Data[[#This Row],[Date of Hire]],"Y")</f>
        <v>27</v>
      </c>
      <c r="N46" s="4" t="str">
        <f>IFERROR(DATEDIF(HR_Data[[#This Row],[Date of Hire]],HR_Data[[#This Row],[Date of Termination]],"Y"),"")</f>
        <v/>
      </c>
      <c r="O46" t="s">
        <v>6</v>
      </c>
      <c r="P46" t="s">
        <v>5</v>
      </c>
      <c r="Q46" t="s">
        <v>4</v>
      </c>
      <c r="R46" t="s">
        <v>49</v>
      </c>
      <c r="S46" t="s">
        <v>2</v>
      </c>
      <c r="T46" t="s">
        <v>1</v>
      </c>
      <c r="U46" s="5">
        <v>3.8</v>
      </c>
      <c r="V46" s="4">
        <v>5</v>
      </c>
      <c r="W46" s="4">
        <v>0</v>
      </c>
      <c r="X46" s="2">
        <v>43479</v>
      </c>
      <c r="Y46" s="4">
        <v>0</v>
      </c>
      <c r="Z46" s="4">
        <v>4</v>
      </c>
    </row>
    <row r="47" spans="1:26" x14ac:dyDescent="0.4">
      <c r="A47" t="s">
        <v>393</v>
      </c>
      <c r="B47" s="4">
        <v>10200</v>
      </c>
      <c r="C47" s="1">
        <v>66808</v>
      </c>
      <c r="D47" t="s">
        <v>79</v>
      </c>
      <c r="E47" t="s">
        <v>228</v>
      </c>
      <c r="F47" s="4">
        <v>78207</v>
      </c>
      <c r="G47" s="2">
        <v>25730</v>
      </c>
      <c r="H47" t="s">
        <v>31</v>
      </c>
      <c r="I47" t="s">
        <v>17</v>
      </c>
      <c r="J47" t="s">
        <v>40</v>
      </c>
      <c r="K47" s="2">
        <v>40774</v>
      </c>
      <c r="L47" s="3">
        <f>DATEDIF(HR_Data[[#This Row],[DOB]],HR_Data[[#This Row],[Date of Hire]],"Y")</f>
        <v>41</v>
      </c>
      <c r="N47" s="4" t="str">
        <f>IFERROR(DATEDIF(HR_Data[[#This Row],[Date of Hire]],HR_Data[[#This Row],[Date of Termination]],"Y"),"")</f>
        <v/>
      </c>
      <c r="O47" t="s">
        <v>6</v>
      </c>
      <c r="P47" t="s">
        <v>5</v>
      </c>
      <c r="Q47" t="s">
        <v>77</v>
      </c>
      <c r="R47" t="s">
        <v>97</v>
      </c>
      <c r="S47" t="s">
        <v>13</v>
      </c>
      <c r="T47" t="s">
        <v>1</v>
      </c>
      <c r="U47" s="5">
        <v>3</v>
      </c>
      <c r="V47" s="4">
        <v>5</v>
      </c>
      <c r="W47" s="4">
        <v>0</v>
      </c>
      <c r="X47" s="2">
        <v>43484</v>
      </c>
      <c r="Y47" s="4">
        <v>0</v>
      </c>
      <c r="Z47" s="4">
        <v>17</v>
      </c>
    </row>
    <row r="48" spans="1:26" x14ac:dyDescent="0.4">
      <c r="A48" t="s">
        <v>392</v>
      </c>
      <c r="B48" s="4">
        <v>10240</v>
      </c>
      <c r="C48" s="1">
        <v>64786</v>
      </c>
      <c r="D48" t="s">
        <v>11</v>
      </c>
      <c r="E48" t="s">
        <v>10</v>
      </c>
      <c r="F48" s="4">
        <v>1775</v>
      </c>
      <c r="G48" s="2">
        <v>30555</v>
      </c>
      <c r="H48" t="s">
        <v>9</v>
      </c>
      <c r="I48" t="s">
        <v>17</v>
      </c>
      <c r="J48" t="s">
        <v>16</v>
      </c>
      <c r="K48" s="2">
        <v>40775</v>
      </c>
      <c r="L48" s="3">
        <f>DATEDIF(HR_Data[[#This Row],[DOB]],HR_Data[[#This Row],[Date of Hire]],"Y")</f>
        <v>27</v>
      </c>
      <c r="M48" s="2">
        <v>42323</v>
      </c>
      <c r="N48" s="4">
        <f>IFERROR(DATEDIF(HR_Data[[#This Row],[Date of Hire]],HR_Data[[#This Row],[Date of Termination]],"Y"),"")</f>
        <v>4</v>
      </c>
      <c r="O48" t="s">
        <v>39</v>
      </c>
      <c r="P48" t="s">
        <v>27</v>
      </c>
      <c r="Q48" t="s">
        <v>4</v>
      </c>
      <c r="R48" t="s">
        <v>45</v>
      </c>
      <c r="S48" t="s">
        <v>55</v>
      </c>
      <c r="T48" t="s">
        <v>1</v>
      </c>
      <c r="U48" s="5">
        <v>4.3</v>
      </c>
      <c r="V48" s="4">
        <v>4</v>
      </c>
      <c r="W48" s="4">
        <v>0</v>
      </c>
      <c r="X48" s="2">
        <v>42280</v>
      </c>
      <c r="Y48" s="4">
        <v>0</v>
      </c>
      <c r="Z48" s="4">
        <v>3</v>
      </c>
    </row>
    <row r="49" spans="1:26" x14ac:dyDescent="0.4">
      <c r="A49" t="s">
        <v>391</v>
      </c>
      <c r="B49" s="4">
        <v>10168</v>
      </c>
      <c r="C49" s="1">
        <v>64816</v>
      </c>
      <c r="D49" t="s">
        <v>11</v>
      </c>
      <c r="E49" t="s">
        <v>10</v>
      </c>
      <c r="F49" s="4">
        <v>2044</v>
      </c>
      <c r="G49" s="2">
        <v>32294</v>
      </c>
      <c r="H49" t="s">
        <v>9</v>
      </c>
      <c r="I49" t="s">
        <v>17</v>
      </c>
      <c r="J49" t="s">
        <v>40</v>
      </c>
      <c r="K49" s="2">
        <v>40776</v>
      </c>
      <c r="L49" s="3">
        <f>DATEDIF(HR_Data[[#This Row],[DOB]],HR_Data[[#This Row],[Date of Hire]],"Y")</f>
        <v>23</v>
      </c>
      <c r="N49" s="4" t="str">
        <f>IFERROR(DATEDIF(HR_Data[[#This Row],[Date of Hire]],HR_Data[[#This Row],[Date of Termination]],"Y"),"")</f>
        <v/>
      </c>
      <c r="O49" t="s">
        <v>6</v>
      </c>
      <c r="P49" t="s">
        <v>5</v>
      </c>
      <c r="Q49" t="s">
        <v>4</v>
      </c>
      <c r="R49" t="s">
        <v>38</v>
      </c>
      <c r="S49" t="s">
        <v>55</v>
      </c>
      <c r="T49" t="s">
        <v>1</v>
      </c>
      <c r="U49" s="5">
        <v>3.58</v>
      </c>
      <c r="V49" s="4">
        <v>5</v>
      </c>
      <c r="W49" s="4">
        <v>0</v>
      </c>
      <c r="X49" s="2">
        <v>43495</v>
      </c>
      <c r="Y49" s="4">
        <v>0</v>
      </c>
      <c r="Z49" s="4">
        <v>3</v>
      </c>
    </row>
    <row r="50" spans="1:26" x14ac:dyDescent="0.4">
      <c r="A50" t="s">
        <v>390</v>
      </c>
      <c r="B50" s="4">
        <v>10220</v>
      </c>
      <c r="C50" s="1">
        <v>68678</v>
      </c>
      <c r="D50" t="s">
        <v>132</v>
      </c>
      <c r="E50" t="s">
        <v>10</v>
      </c>
      <c r="F50" s="4">
        <v>2170</v>
      </c>
      <c r="G50" s="2">
        <v>31295</v>
      </c>
      <c r="H50" t="s">
        <v>31</v>
      </c>
      <c r="I50" t="s">
        <v>17</v>
      </c>
      <c r="J50" t="s">
        <v>16</v>
      </c>
      <c r="K50" s="2">
        <v>40777</v>
      </c>
      <c r="L50" s="3">
        <f>DATEDIF(HR_Data[[#This Row],[DOB]],HR_Data[[#This Row],[Date of Hire]],"Y")</f>
        <v>25</v>
      </c>
      <c r="N50" s="4" t="str">
        <f>IFERROR(DATEDIF(HR_Data[[#This Row],[Date of Hire]],HR_Data[[#This Row],[Date of Termination]],"Y"),"")</f>
        <v/>
      </c>
      <c r="O50" t="s">
        <v>6</v>
      </c>
      <c r="P50" t="s">
        <v>5</v>
      </c>
      <c r="Q50" t="s">
        <v>15</v>
      </c>
      <c r="R50" t="s">
        <v>131</v>
      </c>
      <c r="S50" t="s">
        <v>55</v>
      </c>
      <c r="T50" t="s">
        <v>1</v>
      </c>
      <c r="U50" s="5">
        <v>4.7</v>
      </c>
      <c r="V50" s="4">
        <v>3</v>
      </c>
      <c r="W50" s="4">
        <v>6</v>
      </c>
      <c r="X50" s="2">
        <v>43523</v>
      </c>
      <c r="Y50" s="4">
        <v>0</v>
      </c>
      <c r="Z50" s="4">
        <v>2</v>
      </c>
    </row>
    <row r="51" spans="1:26" x14ac:dyDescent="0.4">
      <c r="A51" t="s">
        <v>389</v>
      </c>
      <c r="B51" s="4">
        <v>10275</v>
      </c>
      <c r="C51" s="1">
        <v>64066</v>
      </c>
      <c r="D51" t="s">
        <v>32</v>
      </c>
      <c r="E51" t="s">
        <v>10</v>
      </c>
      <c r="F51" s="4">
        <v>1752</v>
      </c>
      <c r="G51" s="2">
        <v>29829</v>
      </c>
      <c r="H51" t="s">
        <v>9</v>
      </c>
      <c r="I51" t="s">
        <v>47</v>
      </c>
      <c r="J51" t="s">
        <v>16</v>
      </c>
      <c r="K51" s="2">
        <v>40778</v>
      </c>
      <c r="L51" s="3">
        <f>DATEDIF(HR_Data[[#This Row],[DOB]],HR_Data[[#This Row],[Date of Hire]],"Y")</f>
        <v>29</v>
      </c>
      <c r="M51" s="2">
        <v>41281</v>
      </c>
      <c r="N51" s="4">
        <f>IFERROR(DATEDIF(HR_Data[[#This Row],[Date of Hire]],HR_Data[[#This Row],[Date of Termination]],"Y"),"")</f>
        <v>1</v>
      </c>
      <c r="O51" t="s">
        <v>46</v>
      </c>
      <c r="P51" t="s">
        <v>27</v>
      </c>
      <c r="Q51" t="s">
        <v>4</v>
      </c>
      <c r="R51" t="s">
        <v>26</v>
      </c>
      <c r="S51" t="s">
        <v>25</v>
      </c>
      <c r="T51" t="s">
        <v>1</v>
      </c>
      <c r="U51" s="5">
        <v>4.2</v>
      </c>
      <c r="V51" s="4">
        <v>5</v>
      </c>
      <c r="W51" s="4">
        <v>0</v>
      </c>
      <c r="X51" s="2">
        <v>40973</v>
      </c>
      <c r="Y51" s="4">
        <v>0</v>
      </c>
      <c r="Z51" s="4">
        <v>9</v>
      </c>
    </row>
    <row r="52" spans="1:26" x14ac:dyDescent="0.4">
      <c r="A52" t="s">
        <v>388</v>
      </c>
      <c r="B52" s="4">
        <v>10269</v>
      </c>
      <c r="C52" s="1">
        <v>59369</v>
      </c>
      <c r="D52" t="s">
        <v>32</v>
      </c>
      <c r="E52" t="s">
        <v>10</v>
      </c>
      <c r="F52" s="4">
        <v>2169</v>
      </c>
      <c r="G52" s="2">
        <v>28819</v>
      </c>
      <c r="H52" t="s">
        <v>31</v>
      </c>
      <c r="I52" t="s">
        <v>47</v>
      </c>
      <c r="J52" t="s">
        <v>16</v>
      </c>
      <c r="K52" s="2">
        <v>40779</v>
      </c>
      <c r="L52" s="3">
        <f>DATEDIF(HR_Data[[#This Row],[DOB]],HR_Data[[#This Row],[Date of Hire]],"Y")</f>
        <v>32</v>
      </c>
      <c r="M52" s="2">
        <v>40812</v>
      </c>
      <c r="N52" s="4">
        <f>IFERROR(DATEDIF(HR_Data[[#This Row],[Date of Hire]],HR_Data[[#This Row],[Date of Termination]],"Y"),"")</f>
        <v>0</v>
      </c>
      <c r="O52" t="s">
        <v>62</v>
      </c>
      <c r="P52" t="s">
        <v>27</v>
      </c>
      <c r="Q52" t="s">
        <v>4</v>
      </c>
      <c r="R52" t="s">
        <v>3</v>
      </c>
      <c r="S52" t="s">
        <v>55</v>
      </c>
      <c r="T52" t="s">
        <v>1</v>
      </c>
      <c r="U52" s="5">
        <v>4.2</v>
      </c>
      <c r="V52" s="4">
        <v>4</v>
      </c>
      <c r="W52" s="4">
        <v>0</v>
      </c>
      <c r="X52" s="2">
        <v>40638</v>
      </c>
      <c r="Y52" s="4">
        <v>0</v>
      </c>
      <c r="Z52" s="4">
        <v>6</v>
      </c>
    </row>
    <row r="53" spans="1:26" x14ac:dyDescent="0.4">
      <c r="A53" t="s">
        <v>387</v>
      </c>
      <c r="B53" s="4">
        <v>10029</v>
      </c>
      <c r="C53" s="1">
        <v>50373</v>
      </c>
      <c r="D53" t="s">
        <v>11</v>
      </c>
      <c r="E53" t="s">
        <v>10</v>
      </c>
      <c r="F53" s="4">
        <v>2134</v>
      </c>
      <c r="G53" s="2">
        <v>29459</v>
      </c>
      <c r="H53" t="s">
        <v>31</v>
      </c>
      <c r="I53" t="s">
        <v>47</v>
      </c>
      <c r="J53" t="s">
        <v>16</v>
      </c>
      <c r="K53" s="2">
        <v>40780</v>
      </c>
      <c r="L53" s="3">
        <f>DATEDIF(HR_Data[[#This Row],[DOB]],HR_Data[[#This Row],[Date of Hire]],"Y")</f>
        <v>30</v>
      </c>
      <c r="N53" s="4" t="str">
        <f>IFERROR(DATEDIF(HR_Data[[#This Row],[Date of Hire]],HR_Data[[#This Row],[Date of Termination]],"Y"),"")</f>
        <v/>
      </c>
      <c r="O53" t="s">
        <v>6</v>
      </c>
      <c r="P53" t="s">
        <v>5</v>
      </c>
      <c r="Q53" t="s">
        <v>4</v>
      </c>
      <c r="R53" t="s">
        <v>26</v>
      </c>
      <c r="S53" t="s">
        <v>13</v>
      </c>
      <c r="T53" t="s">
        <v>20</v>
      </c>
      <c r="U53" s="5">
        <v>4.0999999999999996</v>
      </c>
      <c r="V53" s="4">
        <v>4</v>
      </c>
      <c r="W53" s="4">
        <v>0</v>
      </c>
      <c r="X53" s="2">
        <v>43524</v>
      </c>
      <c r="Y53" s="4">
        <v>0</v>
      </c>
      <c r="Z53" s="4">
        <v>5</v>
      </c>
    </row>
    <row r="54" spans="1:26" x14ac:dyDescent="0.4">
      <c r="A54" t="s">
        <v>386</v>
      </c>
      <c r="B54" s="4">
        <v>10261</v>
      </c>
      <c r="C54" s="1">
        <v>63108</v>
      </c>
      <c r="D54" t="s">
        <v>11</v>
      </c>
      <c r="E54" t="s">
        <v>10</v>
      </c>
      <c r="F54" s="4">
        <v>2452</v>
      </c>
      <c r="G54" s="2">
        <v>28376</v>
      </c>
      <c r="H54" t="s">
        <v>31</v>
      </c>
      <c r="I54" t="s">
        <v>17</v>
      </c>
      <c r="J54" t="s">
        <v>16</v>
      </c>
      <c r="K54" s="2">
        <v>40781</v>
      </c>
      <c r="L54" s="3">
        <f>DATEDIF(HR_Data[[#This Row],[DOB]],HR_Data[[#This Row],[Date of Hire]],"Y")</f>
        <v>33</v>
      </c>
      <c r="N54" s="4" t="str">
        <f>IFERROR(DATEDIF(HR_Data[[#This Row],[Date of Hire]],HR_Data[[#This Row],[Date of Termination]],"Y"),"")</f>
        <v/>
      </c>
      <c r="O54" t="s">
        <v>6</v>
      </c>
      <c r="P54" t="s">
        <v>5</v>
      </c>
      <c r="Q54" t="s">
        <v>4</v>
      </c>
      <c r="R54" t="s">
        <v>3</v>
      </c>
      <c r="S54" t="s">
        <v>13</v>
      </c>
      <c r="T54" t="s">
        <v>1</v>
      </c>
      <c r="U54" s="5">
        <v>4.4000000000000004</v>
      </c>
      <c r="V54" s="4">
        <v>5</v>
      </c>
      <c r="W54" s="4">
        <v>0</v>
      </c>
      <c r="X54" s="2">
        <v>43479</v>
      </c>
      <c r="Y54" s="4">
        <v>0</v>
      </c>
      <c r="Z54" s="4">
        <v>3</v>
      </c>
    </row>
    <row r="55" spans="1:26" x14ac:dyDescent="0.4">
      <c r="A55" t="s">
        <v>385</v>
      </c>
      <c r="B55" s="4">
        <v>10292</v>
      </c>
      <c r="C55" s="1">
        <v>59144</v>
      </c>
      <c r="D55" t="s">
        <v>11</v>
      </c>
      <c r="E55" t="s">
        <v>10</v>
      </c>
      <c r="F55" s="4">
        <v>1880</v>
      </c>
      <c r="G55" s="2">
        <v>29079</v>
      </c>
      <c r="H55" t="s">
        <v>31</v>
      </c>
      <c r="I55" t="s">
        <v>17</v>
      </c>
      <c r="J55" t="s">
        <v>40</v>
      </c>
      <c r="K55" s="2">
        <v>40782</v>
      </c>
      <c r="L55" s="3">
        <f>DATEDIF(HR_Data[[#This Row],[DOB]],HR_Data[[#This Row],[Date of Hire]],"Y")</f>
        <v>32</v>
      </c>
      <c r="M55" s="2">
        <v>42636</v>
      </c>
      <c r="N55" s="4">
        <f>IFERROR(DATEDIF(HR_Data[[#This Row],[Date of Hire]],HR_Data[[#This Row],[Date of Termination]],"Y"),"")</f>
        <v>5</v>
      </c>
      <c r="O55" t="s">
        <v>193</v>
      </c>
      <c r="P55" t="s">
        <v>70</v>
      </c>
      <c r="Q55" t="s">
        <v>4</v>
      </c>
      <c r="R55" t="s">
        <v>30</v>
      </c>
      <c r="S55" t="s">
        <v>2</v>
      </c>
      <c r="T55" t="s">
        <v>59</v>
      </c>
      <c r="U55" s="5">
        <v>2</v>
      </c>
      <c r="V55" s="4">
        <v>3</v>
      </c>
      <c r="W55" s="4">
        <v>0</v>
      </c>
      <c r="X55" s="2">
        <v>42374</v>
      </c>
      <c r="Y55" s="4">
        <v>5</v>
      </c>
      <c r="Z55" s="4">
        <v>16</v>
      </c>
    </row>
    <row r="56" spans="1:26" x14ac:dyDescent="0.4">
      <c r="A56" t="s">
        <v>384</v>
      </c>
      <c r="B56" s="4">
        <v>10282</v>
      </c>
      <c r="C56" s="1">
        <v>68051</v>
      </c>
      <c r="D56" t="s">
        <v>64</v>
      </c>
      <c r="E56" t="s">
        <v>10</v>
      </c>
      <c r="F56" s="4">
        <v>1803</v>
      </c>
      <c r="G56" s="2">
        <v>27745</v>
      </c>
      <c r="H56" t="s">
        <v>31</v>
      </c>
      <c r="I56" t="s">
        <v>42</v>
      </c>
      <c r="J56" t="s">
        <v>16</v>
      </c>
      <c r="K56" s="2">
        <v>40783</v>
      </c>
      <c r="L56" s="3">
        <f>DATEDIF(HR_Data[[#This Row],[DOB]],HR_Data[[#This Row],[Date of Hire]],"Y")</f>
        <v>35</v>
      </c>
      <c r="N56" s="4" t="str">
        <f>IFERROR(DATEDIF(HR_Data[[#This Row],[Date of Hire]],HR_Data[[#This Row],[Date of Termination]],"Y"),"")</f>
        <v/>
      </c>
      <c r="O56" t="s">
        <v>6</v>
      </c>
      <c r="P56" t="s">
        <v>5</v>
      </c>
      <c r="Q56" t="s">
        <v>4</v>
      </c>
      <c r="R56" t="s">
        <v>21</v>
      </c>
      <c r="S56" t="s">
        <v>60</v>
      </c>
      <c r="T56" t="s">
        <v>59</v>
      </c>
      <c r="U56" s="5">
        <v>4.13</v>
      </c>
      <c r="V56" s="4">
        <v>2</v>
      </c>
      <c r="W56" s="4">
        <v>0</v>
      </c>
      <c r="X56" s="2">
        <v>43479</v>
      </c>
      <c r="Y56" s="4">
        <v>3</v>
      </c>
      <c r="Z56" s="4">
        <v>3</v>
      </c>
    </row>
    <row r="57" spans="1:26" x14ac:dyDescent="0.4">
      <c r="A57" t="s">
        <v>383</v>
      </c>
      <c r="B57" s="4">
        <v>10019</v>
      </c>
      <c r="C57" s="1">
        <v>170500</v>
      </c>
      <c r="D57" t="s">
        <v>382</v>
      </c>
      <c r="E57" t="s">
        <v>10</v>
      </c>
      <c r="F57" s="4">
        <v>2030</v>
      </c>
      <c r="G57" s="2">
        <v>30394</v>
      </c>
      <c r="H57" t="s">
        <v>31</v>
      </c>
      <c r="I57" t="s">
        <v>17</v>
      </c>
      <c r="J57" t="s">
        <v>40</v>
      </c>
      <c r="K57" s="2">
        <v>40784</v>
      </c>
      <c r="L57" s="3">
        <f>DATEDIF(HR_Data[[#This Row],[DOB]],HR_Data[[#This Row],[Date of Hire]],"Y")</f>
        <v>28</v>
      </c>
      <c r="N57" s="4" t="str">
        <f>IFERROR(DATEDIF(HR_Data[[#This Row],[Date of Hire]],HR_Data[[#This Row],[Date of Termination]],"Y"),"")</f>
        <v/>
      </c>
      <c r="O57" t="s">
        <v>6</v>
      </c>
      <c r="P57" t="s">
        <v>5</v>
      </c>
      <c r="Q57" t="s">
        <v>4</v>
      </c>
      <c r="R57" t="s">
        <v>21</v>
      </c>
      <c r="S57" t="s">
        <v>55</v>
      </c>
      <c r="T57" t="s">
        <v>20</v>
      </c>
      <c r="U57" s="5">
        <v>3.7</v>
      </c>
      <c r="V57" s="4">
        <v>5</v>
      </c>
      <c r="W57" s="4">
        <v>0</v>
      </c>
      <c r="X57" s="2">
        <v>43557</v>
      </c>
      <c r="Y57" s="4">
        <v>0</v>
      </c>
      <c r="Z57" s="4">
        <v>15</v>
      </c>
    </row>
    <row r="58" spans="1:26" x14ac:dyDescent="0.4">
      <c r="A58" t="s">
        <v>381</v>
      </c>
      <c r="B58" s="4">
        <v>10094</v>
      </c>
      <c r="C58" s="1">
        <v>63381</v>
      </c>
      <c r="D58" t="s">
        <v>11</v>
      </c>
      <c r="E58" t="s">
        <v>10</v>
      </c>
      <c r="F58" s="4">
        <v>2189</v>
      </c>
      <c r="G58" s="2">
        <v>28215</v>
      </c>
      <c r="H58" t="s">
        <v>9</v>
      </c>
      <c r="I58" t="s">
        <v>47</v>
      </c>
      <c r="J58" t="s">
        <v>16</v>
      </c>
      <c r="K58" s="2">
        <v>40785</v>
      </c>
      <c r="L58" s="3">
        <f>DATEDIF(HR_Data[[#This Row],[DOB]],HR_Data[[#This Row],[Date of Hire]],"Y")</f>
        <v>34</v>
      </c>
      <c r="N58" s="4" t="str">
        <f>IFERROR(DATEDIF(HR_Data[[#This Row],[Date of Hire]],HR_Data[[#This Row],[Date of Termination]],"Y"),"")</f>
        <v/>
      </c>
      <c r="O58" t="s">
        <v>6</v>
      </c>
      <c r="P58" t="s">
        <v>5</v>
      </c>
      <c r="Q58" t="s">
        <v>4</v>
      </c>
      <c r="R58" t="s">
        <v>69</v>
      </c>
      <c r="S58" t="s">
        <v>55</v>
      </c>
      <c r="T58" t="s">
        <v>1</v>
      </c>
      <c r="U58" s="5">
        <v>4.7300000000000004</v>
      </c>
      <c r="V58" s="4">
        <v>5</v>
      </c>
      <c r="W58" s="4">
        <v>0</v>
      </c>
      <c r="X58" s="2">
        <v>43510</v>
      </c>
      <c r="Y58" s="4">
        <v>0</v>
      </c>
      <c r="Z58" s="4">
        <v>6</v>
      </c>
    </row>
    <row r="59" spans="1:26" x14ac:dyDescent="0.4">
      <c r="A59" t="s">
        <v>380</v>
      </c>
      <c r="B59" s="4">
        <v>10193</v>
      </c>
      <c r="C59" s="1">
        <v>83552</v>
      </c>
      <c r="D59" t="s">
        <v>18</v>
      </c>
      <c r="E59" t="s">
        <v>10</v>
      </c>
      <c r="F59" s="4">
        <v>1810</v>
      </c>
      <c r="G59" s="2">
        <v>31650</v>
      </c>
      <c r="H59" t="s">
        <v>31</v>
      </c>
      <c r="I59" t="s">
        <v>47</v>
      </c>
      <c r="J59" t="s">
        <v>16</v>
      </c>
      <c r="K59" s="2">
        <v>40786</v>
      </c>
      <c r="L59" s="3">
        <f>DATEDIF(HR_Data[[#This Row],[DOB]],HR_Data[[#This Row],[Date of Hire]],"Y")</f>
        <v>25</v>
      </c>
      <c r="N59" s="4" t="str">
        <f>IFERROR(DATEDIF(HR_Data[[#This Row],[Date of Hire]],HR_Data[[#This Row],[Date of Termination]],"Y"),"")</f>
        <v/>
      </c>
      <c r="O59" t="s">
        <v>6</v>
      </c>
      <c r="P59" t="s">
        <v>5</v>
      </c>
      <c r="Q59" t="s">
        <v>15</v>
      </c>
      <c r="R59" t="s">
        <v>14</v>
      </c>
      <c r="S59" t="s">
        <v>55</v>
      </c>
      <c r="T59" t="s">
        <v>1</v>
      </c>
      <c r="U59" s="5">
        <v>3.04</v>
      </c>
      <c r="V59" s="4">
        <v>3</v>
      </c>
      <c r="W59" s="4">
        <v>6</v>
      </c>
      <c r="X59" s="2">
        <v>43487</v>
      </c>
      <c r="Y59" s="4">
        <v>0</v>
      </c>
      <c r="Z59" s="4">
        <v>2</v>
      </c>
    </row>
    <row r="60" spans="1:26" x14ac:dyDescent="0.4">
      <c r="A60" t="s">
        <v>379</v>
      </c>
      <c r="B60" s="4">
        <v>10132</v>
      </c>
      <c r="C60" s="1">
        <v>56149</v>
      </c>
      <c r="D60" t="s">
        <v>11</v>
      </c>
      <c r="E60" t="s">
        <v>10</v>
      </c>
      <c r="F60" s="4">
        <v>1821</v>
      </c>
      <c r="G60" s="2">
        <v>31877</v>
      </c>
      <c r="H60" t="s">
        <v>9</v>
      </c>
      <c r="I60" t="s">
        <v>17</v>
      </c>
      <c r="J60" t="s">
        <v>16</v>
      </c>
      <c r="K60" s="2">
        <v>40787</v>
      </c>
      <c r="L60" s="3">
        <f>DATEDIF(HR_Data[[#This Row],[DOB]],HR_Data[[#This Row],[Date of Hire]],"Y")</f>
        <v>24</v>
      </c>
      <c r="N60" s="4" t="str">
        <f>IFERROR(DATEDIF(HR_Data[[#This Row],[Date of Hire]],HR_Data[[#This Row],[Date of Termination]],"Y"),"")</f>
        <v/>
      </c>
      <c r="O60" t="s">
        <v>6</v>
      </c>
      <c r="P60" t="s">
        <v>5</v>
      </c>
      <c r="Q60" t="s">
        <v>4</v>
      </c>
      <c r="R60" t="s">
        <v>67</v>
      </c>
      <c r="S60" t="s">
        <v>2</v>
      </c>
      <c r="T60" t="s">
        <v>1</v>
      </c>
      <c r="U60" s="5">
        <v>4.12</v>
      </c>
      <c r="V60" s="4">
        <v>5</v>
      </c>
      <c r="W60" s="4">
        <v>0</v>
      </c>
      <c r="X60" s="2">
        <v>43493</v>
      </c>
      <c r="Y60" s="4">
        <v>0</v>
      </c>
      <c r="Z60" s="4">
        <v>15</v>
      </c>
    </row>
    <row r="61" spans="1:26" x14ac:dyDescent="0.4">
      <c r="A61" t="s">
        <v>378</v>
      </c>
      <c r="B61" s="4">
        <v>10083</v>
      </c>
      <c r="C61" s="1">
        <v>92329</v>
      </c>
      <c r="D61" t="s">
        <v>53</v>
      </c>
      <c r="E61" t="s">
        <v>243</v>
      </c>
      <c r="F61" s="4">
        <v>6278</v>
      </c>
      <c r="G61" s="2">
        <v>23994</v>
      </c>
      <c r="H61" t="s">
        <v>31</v>
      </c>
      <c r="I61" t="s">
        <v>17</v>
      </c>
      <c r="J61" t="s">
        <v>16</v>
      </c>
      <c r="K61" s="2">
        <v>40788</v>
      </c>
      <c r="L61" s="3">
        <f>DATEDIF(HR_Data[[#This Row],[DOB]],HR_Data[[#This Row],[Date of Hire]],"Y")</f>
        <v>45</v>
      </c>
      <c r="N61" s="4" t="str">
        <f>IFERROR(DATEDIF(HR_Data[[#This Row],[Date of Hire]],HR_Data[[#This Row],[Date of Termination]],"Y"),"")</f>
        <v/>
      </c>
      <c r="O61" t="s">
        <v>6</v>
      </c>
      <c r="P61" t="s">
        <v>5</v>
      </c>
      <c r="Q61" t="s">
        <v>15</v>
      </c>
      <c r="R61" t="s">
        <v>52</v>
      </c>
      <c r="S61" t="s">
        <v>13</v>
      </c>
      <c r="T61" t="s">
        <v>1</v>
      </c>
      <c r="U61" s="5">
        <v>5</v>
      </c>
      <c r="V61" s="4">
        <v>3</v>
      </c>
      <c r="W61" s="4">
        <v>4</v>
      </c>
      <c r="X61" s="2">
        <v>43497</v>
      </c>
      <c r="Y61" s="4">
        <v>0</v>
      </c>
      <c r="Z61" s="4">
        <v>5</v>
      </c>
    </row>
    <row r="62" spans="1:26" x14ac:dyDescent="0.4">
      <c r="A62" t="s">
        <v>377</v>
      </c>
      <c r="B62" s="4">
        <v>10099</v>
      </c>
      <c r="C62" s="1">
        <v>65729</v>
      </c>
      <c r="D62" t="s">
        <v>138</v>
      </c>
      <c r="E62" t="s">
        <v>376</v>
      </c>
      <c r="F62" s="4">
        <v>5473</v>
      </c>
      <c r="G62" s="2">
        <v>32982</v>
      </c>
      <c r="H62" t="s">
        <v>9</v>
      </c>
      <c r="I62" t="s">
        <v>17</v>
      </c>
      <c r="J62" t="s">
        <v>16</v>
      </c>
      <c r="K62" s="2">
        <v>40789</v>
      </c>
      <c r="L62" s="3">
        <f>DATEDIF(HR_Data[[#This Row],[DOB]],HR_Data[[#This Row],[Date of Hire]],"Y")</f>
        <v>21</v>
      </c>
      <c r="N62" s="4" t="str">
        <f>IFERROR(DATEDIF(HR_Data[[#This Row],[Date of Hire]],HR_Data[[#This Row],[Date of Termination]],"Y"),"")</f>
        <v/>
      </c>
      <c r="O62" t="s">
        <v>6</v>
      </c>
      <c r="P62" t="s">
        <v>5</v>
      </c>
      <c r="Q62" t="s">
        <v>77</v>
      </c>
      <c r="R62" t="s">
        <v>137</v>
      </c>
      <c r="S62" t="s">
        <v>55</v>
      </c>
      <c r="T62" t="s">
        <v>1</v>
      </c>
      <c r="U62" s="5">
        <v>4.62</v>
      </c>
      <c r="V62" s="4">
        <v>4</v>
      </c>
      <c r="W62" s="4">
        <v>0</v>
      </c>
      <c r="X62" s="2">
        <v>43489</v>
      </c>
      <c r="Y62" s="4">
        <v>0</v>
      </c>
      <c r="Z62" s="4">
        <v>8</v>
      </c>
    </row>
    <row r="63" spans="1:26" x14ac:dyDescent="0.4">
      <c r="A63" t="s">
        <v>375</v>
      </c>
      <c r="B63" s="4">
        <v>10212</v>
      </c>
      <c r="C63" s="1">
        <v>85028</v>
      </c>
      <c r="D63" t="s">
        <v>53</v>
      </c>
      <c r="E63" t="s">
        <v>243</v>
      </c>
      <c r="F63" s="4">
        <v>6033</v>
      </c>
      <c r="G63" s="2">
        <v>19011</v>
      </c>
      <c r="H63" t="s">
        <v>9</v>
      </c>
      <c r="I63" t="s">
        <v>47</v>
      </c>
      <c r="J63" t="s">
        <v>16</v>
      </c>
      <c r="K63" s="2">
        <v>40790</v>
      </c>
      <c r="L63" s="3">
        <f>DATEDIF(HR_Data[[#This Row],[DOB]],HR_Data[[#This Row],[Date of Hire]],"Y")</f>
        <v>59</v>
      </c>
      <c r="N63" s="4" t="str">
        <f>IFERROR(DATEDIF(HR_Data[[#This Row],[Date of Hire]],HR_Data[[#This Row],[Date of Termination]],"Y"),"")</f>
        <v/>
      </c>
      <c r="O63" t="s">
        <v>6</v>
      </c>
      <c r="P63" t="s">
        <v>5</v>
      </c>
      <c r="Q63" t="s">
        <v>15</v>
      </c>
      <c r="R63" t="s">
        <v>52</v>
      </c>
      <c r="S63" t="s">
        <v>2</v>
      </c>
      <c r="T63" t="s">
        <v>1</v>
      </c>
      <c r="U63" s="5">
        <v>3.1</v>
      </c>
      <c r="V63" s="4">
        <v>5</v>
      </c>
      <c r="W63" s="4">
        <v>8</v>
      </c>
      <c r="X63" s="2">
        <v>43801</v>
      </c>
      <c r="Y63" s="4">
        <v>0</v>
      </c>
      <c r="Z63" s="4">
        <v>19</v>
      </c>
    </row>
    <row r="64" spans="1:26" x14ac:dyDescent="0.4">
      <c r="A64" t="s">
        <v>374</v>
      </c>
      <c r="B64" s="4">
        <v>10056</v>
      </c>
      <c r="C64" s="1">
        <v>57583</v>
      </c>
      <c r="D64" t="s">
        <v>11</v>
      </c>
      <c r="E64" t="s">
        <v>10</v>
      </c>
      <c r="F64" s="4">
        <v>2110</v>
      </c>
      <c r="G64" s="2">
        <v>28799</v>
      </c>
      <c r="H64" t="s">
        <v>9</v>
      </c>
      <c r="I64" t="s">
        <v>47</v>
      </c>
      <c r="J64" t="s">
        <v>16</v>
      </c>
      <c r="K64" s="2">
        <v>40791</v>
      </c>
      <c r="L64" s="3">
        <f>DATEDIF(HR_Data[[#This Row],[DOB]],HR_Data[[#This Row],[Date of Hire]],"Y")</f>
        <v>32</v>
      </c>
      <c r="N64" s="4" t="str">
        <f>IFERROR(DATEDIF(HR_Data[[#This Row],[Date of Hire]],HR_Data[[#This Row],[Date of Termination]],"Y"),"")</f>
        <v/>
      </c>
      <c r="O64" t="s">
        <v>6</v>
      </c>
      <c r="P64" t="s">
        <v>5</v>
      </c>
      <c r="Q64" t="s">
        <v>4</v>
      </c>
      <c r="R64" t="s">
        <v>61</v>
      </c>
      <c r="S64" t="s">
        <v>55</v>
      </c>
      <c r="T64" t="s">
        <v>1</v>
      </c>
      <c r="U64" s="5">
        <v>5</v>
      </c>
      <c r="V64" s="4">
        <v>3</v>
      </c>
      <c r="W64" s="4">
        <v>0</v>
      </c>
      <c r="X64" s="2">
        <v>43521</v>
      </c>
      <c r="Y64" s="4">
        <v>0</v>
      </c>
      <c r="Z64" s="4">
        <v>1</v>
      </c>
    </row>
    <row r="65" spans="1:26" x14ac:dyDescent="0.4">
      <c r="A65" t="s">
        <v>373</v>
      </c>
      <c r="B65" s="4">
        <v>10143</v>
      </c>
      <c r="C65" s="1">
        <v>56294</v>
      </c>
      <c r="D65" t="s">
        <v>32</v>
      </c>
      <c r="E65" t="s">
        <v>10</v>
      </c>
      <c r="F65" s="4">
        <v>2458</v>
      </c>
      <c r="G65" s="2">
        <v>29112</v>
      </c>
      <c r="H65" t="s">
        <v>31</v>
      </c>
      <c r="I65" t="s">
        <v>17</v>
      </c>
      <c r="J65" t="s">
        <v>84</v>
      </c>
      <c r="K65" s="2">
        <v>40792</v>
      </c>
      <c r="L65" s="3">
        <f>DATEDIF(HR_Data[[#This Row],[DOB]],HR_Data[[#This Row],[Date of Hire]],"Y")</f>
        <v>31</v>
      </c>
      <c r="N65" s="4" t="str">
        <f>IFERROR(DATEDIF(HR_Data[[#This Row],[Date of Hire]],HR_Data[[#This Row],[Date of Termination]],"Y"),"")</f>
        <v/>
      </c>
      <c r="O65" t="s">
        <v>6</v>
      </c>
      <c r="P65" t="s">
        <v>5</v>
      </c>
      <c r="Q65" t="s">
        <v>4</v>
      </c>
      <c r="R65" t="s">
        <v>30</v>
      </c>
      <c r="S65" t="s">
        <v>2</v>
      </c>
      <c r="T65" t="s">
        <v>1</v>
      </c>
      <c r="U65" s="5">
        <v>3.96</v>
      </c>
      <c r="V65" s="4">
        <v>4</v>
      </c>
      <c r="W65" s="4">
        <v>0</v>
      </c>
      <c r="X65" s="2">
        <v>43523</v>
      </c>
      <c r="Y65" s="4">
        <v>0</v>
      </c>
      <c r="Z65" s="4">
        <v>6</v>
      </c>
    </row>
    <row r="66" spans="1:26" x14ac:dyDescent="0.4">
      <c r="A66" t="s">
        <v>372</v>
      </c>
      <c r="B66" s="4">
        <v>10311</v>
      </c>
      <c r="C66" s="1">
        <v>56991</v>
      </c>
      <c r="D66" t="s">
        <v>11</v>
      </c>
      <c r="E66" t="s">
        <v>10</v>
      </c>
      <c r="F66" s="4">
        <v>2138</v>
      </c>
      <c r="G66" s="2">
        <v>32248</v>
      </c>
      <c r="H66" t="s">
        <v>31</v>
      </c>
      <c r="I66" t="s">
        <v>47</v>
      </c>
      <c r="J66" t="s">
        <v>16</v>
      </c>
      <c r="K66" s="2">
        <v>40793</v>
      </c>
      <c r="L66" s="3">
        <f>DATEDIF(HR_Data[[#This Row],[DOB]],HR_Data[[#This Row],[Date of Hire]],"Y")</f>
        <v>23</v>
      </c>
      <c r="N66" s="4" t="str">
        <f>IFERROR(DATEDIF(HR_Data[[#This Row],[Date of Hire]],HR_Data[[#This Row],[Date of Termination]],"Y"),"")</f>
        <v/>
      </c>
      <c r="O66" t="s">
        <v>6</v>
      </c>
      <c r="P66" t="s">
        <v>5</v>
      </c>
      <c r="Q66" t="s">
        <v>4</v>
      </c>
      <c r="R66" t="s">
        <v>26</v>
      </c>
      <c r="S66" t="s">
        <v>55</v>
      </c>
      <c r="T66" t="s">
        <v>1</v>
      </c>
      <c r="U66" s="5">
        <v>4.3</v>
      </c>
      <c r="V66" s="4">
        <v>4</v>
      </c>
      <c r="W66" s="4">
        <v>3</v>
      </c>
      <c r="X66" s="2">
        <v>43496</v>
      </c>
      <c r="Y66" s="4">
        <v>2</v>
      </c>
      <c r="Z66" s="4">
        <v>2</v>
      </c>
    </row>
    <row r="67" spans="1:26" x14ac:dyDescent="0.4">
      <c r="A67" t="s">
        <v>371</v>
      </c>
      <c r="B67" s="4">
        <v>10070</v>
      </c>
      <c r="C67" s="1">
        <v>55722</v>
      </c>
      <c r="D67" t="s">
        <v>11</v>
      </c>
      <c r="E67" t="s">
        <v>10</v>
      </c>
      <c r="F67" s="4">
        <v>1810</v>
      </c>
      <c r="G67" s="2">
        <v>28429</v>
      </c>
      <c r="H67" t="s">
        <v>31</v>
      </c>
      <c r="I67" t="s">
        <v>47</v>
      </c>
      <c r="J67" t="s">
        <v>16</v>
      </c>
      <c r="K67" s="2">
        <v>40794</v>
      </c>
      <c r="L67" s="3">
        <f>DATEDIF(HR_Data[[#This Row],[DOB]],HR_Data[[#This Row],[Date of Hire]],"Y")</f>
        <v>33</v>
      </c>
      <c r="M67" s="2">
        <v>42529</v>
      </c>
      <c r="N67" s="4">
        <f>IFERROR(DATEDIF(HR_Data[[#This Row],[Date of Hire]],HR_Data[[#This Row],[Date of Termination]],"Y"),"")</f>
        <v>4</v>
      </c>
      <c r="O67" t="s">
        <v>46</v>
      </c>
      <c r="P67" t="s">
        <v>27</v>
      </c>
      <c r="Q67" t="s">
        <v>4</v>
      </c>
      <c r="R67" t="s">
        <v>49</v>
      </c>
      <c r="S67" t="s">
        <v>55</v>
      </c>
      <c r="T67" t="s">
        <v>1</v>
      </c>
      <c r="U67" s="5">
        <v>5</v>
      </c>
      <c r="V67" s="4">
        <v>4</v>
      </c>
      <c r="W67" s="4">
        <v>0</v>
      </c>
      <c r="X67" s="2">
        <v>42404</v>
      </c>
      <c r="Y67" s="4">
        <v>0</v>
      </c>
      <c r="Z67" s="4">
        <v>14</v>
      </c>
    </row>
    <row r="68" spans="1:26" x14ac:dyDescent="0.4">
      <c r="A68" t="s">
        <v>370</v>
      </c>
      <c r="B68" s="4">
        <v>10155</v>
      </c>
      <c r="C68" s="1">
        <v>101199</v>
      </c>
      <c r="D68" t="s">
        <v>93</v>
      </c>
      <c r="E68" t="s">
        <v>10</v>
      </c>
      <c r="F68" s="4">
        <v>2176</v>
      </c>
      <c r="G68" s="2">
        <v>29041</v>
      </c>
      <c r="H68" t="s">
        <v>9</v>
      </c>
      <c r="I68" t="s">
        <v>17</v>
      </c>
      <c r="J68" t="s">
        <v>40</v>
      </c>
      <c r="K68" s="2">
        <v>40795</v>
      </c>
      <c r="L68" s="3">
        <f>DATEDIF(HR_Data[[#This Row],[DOB]],HR_Data[[#This Row],[Date of Hire]],"Y")</f>
        <v>32</v>
      </c>
      <c r="N68" s="4" t="str">
        <f>IFERROR(DATEDIF(HR_Data[[#This Row],[Date of Hire]],HR_Data[[#This Row],[Date of Termination]],"Y"),"")</f>
        <v/>
      </c>
      <c r="O68" t="s">
        <v>6</v>
      </c>
      <c r="P68" t="s">
        <v>5</v>
      </c>
      <c r="Q68" t="s">
        <v>91</v>
      </c>
      <c r="R68" t="s">
        <v>90</v>
      </c>
      <c r="S68" t="s">
        <v>60</v>
      </c>
      <c r="T68" t="s">
        <v>1</v>
      </c>
      <c r="U68" s="5">
        <v>3.79</v>
      </c>
      <c r="V68" s="4">
        <v>5</v>
      </c>
      <c r="W68" s="4">
        <v>5</v>
      </c>
      <c r="X68" s="2">
        <v>43490</v>
      </c>
      <c r="Y68" s="4">
        <v>0</v>
      </c>
      <c r="Z68" s="4">
        <v>8</v>
      </c>
    </row>
    <row r="69" spans="1:26" x14ac:dyDescent="0.4">
      <c r="A69" t="s">
        <v>369</v>
      </c>
      <c r="B69" s="4">
        <v>10306</v>
      </c>
      <c r="C69" s="1">
        <v>61568</v>
      </c>
      <c r="D69" t="s">
        <v>79</v>
      </c>
      <c r="E69" t="s">
        <v>368</v>
      </c>
      <c r="F69" s="4">
        <v>36006</v>
      </c>
      <c r="G69" s="2">
        <v>27700</v>
      </c>
      <c r="H69" t="s">
        <v>31</v>
      </c>
      <c r="I69" t="s">
        <v>17</v>
      </c>
      <c r="J69" t="s">
        <v>84</v>
      </c>
      <c r="K69" s="2">
        <v>40796</v>
      </c>
      <c r="L69" s="3">
        <f>DATEDIF(HR_Data[[#This Row],[DOB]],HR_Data[[#This Row],[Date of Hire]],"Y")</f>
        <v>35</v>
      </c>
      <c r="N69" s="4" t="str">
        <f>IFERROR(DATEDIF(HR_Data[[#This Row],[Date of Hire]],HR_Data[[#This Row],[Date of Termination]],"Y"),"")</f>
        <v/>
      </c>
      <c r="O69" t="s">
        <v>6</v>
      </c>
      <c r="P69" t="s">
        <v>5</v>
      </c>
      <c r="Q69" t="s">
        <v>77</v>
      </c>
      <c r="R69" t="s">
        <v>76</v>
      </c>
      <c r="S69" t="s">
        <v>55</v>
      </c>
      <c r="T69" t="s">
        <v>24</v>
      </c>
      <c r="U69" s="5">
        <v>1.93</v>
      </c>
      <c r="V69" s="4">
        <v>3</v>
      </c>
      <c r="W69" s="4">
        <v>0</v>
      </c>
      <c r="X69" s="2">
        <v>43495</v>
      </c>
      <c r="Y69" s="4">
        <v>6</v>
      </c>
      <c r="Z69" s="4">
        <v>5</v>
      </c>
    </row>
    <row r="70" spans="1:26" x14ac:dyDescent="0.4">
      <c r="A70" t="s">
        <v>367</v>
      </c>
      <c r="B70" s="4">
        <v>10100</v>
      </c>
      <c r="C70" s="1">
        <v>58275</v>
      </c>
      <c r="D70" t="s">
        <v>32</v>
      </c>
      <c r="E70" t="s">
        <v>10</v>
      </c>
      <c r="F70" s="4">
        <v>2343</v>
      </c>
      <c r="G70" s="2">
        <v>18684</v>
      </c>
      <c r="H70" t="s">
        <v>9</v>
      </c>
      <c r="I70" t="s">
        <v>98</v>
      </c>
      <c r="J70" t="s">
        <v>40</v>
      </c>
      <c r="K70" s="2">
        <v>40797</v>
      </c>
      <c r="L70" s="3">
        <f>DATEDIF(HR_Data[[#This Row],[DOB]],HR_Data[[#This Row],[Date of Hire]],"Y")</f>
        <v>60</v>
      </c>
      <c r="M70" s="2">
        <v>42312</v>
      </c>
      <c r="N70" s="4">
        <f>IFERROR(DATEDIF(HR_Data[[#This Row],[Date of Hire]],HR_Data[[#This Row],[Date of Termination]],"Y"),"")</f>
        <v>4</v>
      </c>
      <c r="O70" t="s">
        <v>175</v>
      </c>
      <c r="P70" t="s">
        <v>27</v>
      </c>
      <c r="Q70" t="s">
        <v>4</v>
      </c>
      <c r="R70" t="s">
        <v>69</v>
      </c>
      <c r="S70" t="s">
        <v>25</v>
      </c>
      <c r="T70" t="s">
        <v>1</v>
      </c>
      <c r="U70" s="5">
        <v>4.62</v>
      </c>
      <c r="V70" s="4">
        <v>5</v>
      </c>
      <c r="W70" s="4">
        <v>0</v>
      </c>
      <c r="X70" s="2">
        <v>42160</v>
      </c>
      <c r="Y70" s="4">
        <v>0</v>
      </c>
      <c r="Z70" s="4">
        <v>1</v>
      </c>
    </row>
    <row r="71" spans="1:26" x14ac:dyDescent="0.4">
      <c r="A71" t="s">
        <v>366</v>
      </c>
      <c r="B71" s="4">
        <v>10310</v>
      </c>
      <c r="C71" s="1">
        <v>53189</v>
      </c>
      <c r="D71" t="s">
        <v>11</v>
      </c>
      <c r="E71" t="s">
        <v>10</v>
      </c>
      <c r="F71" s="4">
        <v>2061</v>
      </c>
      <c r="G71" s="2">
        <v>24581</v>
      </c>
      <c r="H71" t="s">
        <v>31</v>
      </c>
      <c r="I71" t="s">
        <v>47</v>
      </c>
      <c r="J71" t="s">
        <v>16</v>
      </c>
      <c r="K71" s="2">
        <v>40798</v>
      </c>
      <c r="L71" s="3">
        <f>DATEDIF(HR_Data[[#This Row],[DOB]],HR_Data[[#This Row],[Date of Hire]],"Y")</f>
        <v>44</v>
      </c>
      <c r="N71" s="4" t="str">
        <f>IFERROR(DATEDIF(HR_Data[[#This Row],[Date of Hire]],HR_Data[[#This Row],[Date of Termination]],"Y"),"")</f>
        <v/>
      </c>
      <c r="O71" t="s">
        <v>6</v>
      </c>
      <c r="P71" t="s">
        <v>5</v>
      </c>
      <c r="Q71" t="s">
        <v>4</v>
      </c>
      <c r="R71" t="s">
        <v>45</v>
      </c>
      <c r="S71" t="s">
        <v>55</v>
      </c>
      <c r="T71" t="s">
        <v>24</v>
      </c>
      <c r="U71" s="5">
        <v>1.1200000000000001</v>
      </c>
      <c r="V71" s="4">
        <v>2</v>
      </c>
      <c r="W71" s="4">
        <v>0</v>
      </c>
      <c r="X71" s="2">
        <v>43496</v>
      </c>
      <c r="Y71" s="4">
        <v>4</v>
      </c>
      <c r="Z71" s="4">
        <v>9</v>
      </c>
    </row>
    <row r="72" spans="1:26" x14ac:dyDescent="0.4">
      <c r="A72" t="s">
        <v>365</v>
      </c>
      <c r="B72" s="4">
        <v>10197</v>
      </c>
      <c r="C72" s="1">
        <v>96820</v>
      </c>
      <c r="D72" t="s">
        <v>111</v>
      </c>
      <c r="E72" t="s">
        <v>10</v>
      </c>
      <c r="F72" s="4">
        <v>2045</v>
      </c>
      <c r="G72" s="2">
        <v>30563</v>
      </c>
      <c r="H72" t="s">
        <v>31</v>
      </c>
      <c r="I72" t="s">
        <v>17</v>
      </c>
      <c r="J72" t="s">
        <v>16</v>
      </c>
      <c r="K72" s="2">
        <v>40799</v>
      </c>
      <c r="L72" s="3">
        <f>DATEDIF(HR_Data[[#This Row],[DOB]],HR_Data[[#This Row],[Date of Hire]],"Y")</f>
        <v>28</v>
      </c>
      <c r="N72" s="4" t="str">
        <f>IFERROR(DATEDIF(HR_Data[[#This Row],[Date of Hire]],HR_Data[[#This Row],[Date of Termination]],"Y"),"")</f>
        <v/>
      </c>
      <c r="O72" t="s">
        <v>6</v>
      </c>
      <c r="P72" t="s">
        <v>5</v>
      </c>
      <c r="Q72" t="s">
        <v>15</v>
      </c>
      <c r="R72" t="s">
        <v>56</v>
      </c>
      <c r="S72" t="s">
        <v>55</v>
      </c>
      <c r="T72" t="s">
        <v>1</v>
      </c>
      <c r="U72" s="5">
        <v>3.01</v>
      </c>
      <c r="V72" s="4">
        <v>5</v>
      </c>
      <c r="W72" s="4">
        <v>7</v>
      </c>
      <c r="X72" s="2">
        <v>43488</v>
      </c>
      <c r="Y72" s="4">
        <v>0</v>
      </c>
      <c r="Z72" s="4">
        <v>15</v>
      </c>
    </row>
    <row r="73" spans="1:26" x14ac:dyDescent="0.4">
      <c r="A73" t="s">
        <v>364</v>
      </c>
      <c r="B73" s="4">
        <v>10276</v>
      </c>
      <c r="C73" s="1">
        <v>51259</v>
      </c>
      <c r="D73" t="s">
        <v>11</v>
      </c>
      <c r="E73" t="s">
        <v>10</v>
      </c>
      <c r="F73" s="4">
        <v>2180</v>
      </c>
      <c r="G73" s="2">
        <v>30270</v>
      </c>
      <c r="H73" t="s">
        <v>31</v>
      </c>
      <c r="I73" t="s">
        <v>17</v>
      </c>
      <c r="J73" t="s">
        <v>16</v>
      </c>
      <c r="K73" s="2">
        <v>40800</v>
      </c>
      <c r="L73" s="3">
        <f>DATEDIF(HR_Data[[#This Row],[DOB]],HR_Data[[#This Row],[Date of Hire]],"Y")</f>
        <v>28</v>
      </c>
      <c r="N73" s="4" t="str">
        <f>IFERROR(DATEDIF(HR_Data[[#This Row],[Date of Hire]],HR_Data[[#This Row],[Date of Termination]],"Y"),"")</f>
        <v/>
      </c>
      <c r="O73" t="s">
        <v>6</v>
      </c>
      <c r="P73" t="s">
        <v>5</v>
      </c>
      <c r="Q73" t="s">
        <v>4</v>
      </c>
      <c r="R73" t="s">
        <v>38</v>
      </c>
      <c r="S73" t="s">
        <v>55</v>
      </c>
      <c r="T73" t="s">
        <v>1</v>
      </c>
      <c r="U73" s="5">
        <v>4.3</v>
      </c>
      <c r="V73" s="4">
        <v>4</v>
      </c>
      <c r="W73" s="4">
        <v>0</v>
      </c>
      <c r="X73" s="2">
        <v>43515</v>
      </c>
      <c r="Y73" s="4">
        <v>0</v>
      </c>
      <c r="Z73" s="4">
        <v>1</v>
      </c>
    </row>
    <row r="74" spans="1:26" x14ac:dyDescent="0.4">
      <c r="A74" t="s">
        <v>363</v>
      </c>
      <c r="B74" s="4">
        <v>10304</v>
      </c>
      <c r="C74" s="1">
        <v>59231</v>
      </c>
      <c r="D74" t="s">
        <v>79</v>
      </c>
      <c r="E74" t="s">
        <v>362</v>
      </c>
      <c r="F74" s="4">
        <v>98052</v>
      </c>
      <c r="G74" s="2">
        <v>31911</v>
      </c>
      <c r="H74" t="s">
        <v>9</v>
      </c>
      <c r="I74" t="s">
        <v>17</v>
      </c>
      <c r="J74" t="s">
        <v>16</v>
      </c>
      <c r="K74" s="2">
        <v>40801</v>
      </c>
      <c r="L74" s="3">
        <f>DATEDIF(HR_Data[[#This Row],[DOB]],HR_Data[[#This Row],[Date of Hire]],"Y")</f>
        <v>24</v>
      </c>
      <c r="N74" s="4" t="str">
        <f>IFERROR(DATEDIF(HR_Data[[#This Row],[Date of Hire]],HR_Data[[#This Row],[Date of Termination]],"Y"),"")</f>
        <v/>
      </c>
      <c r="O74" t="s">
        <v>6</v>
      </c>
      <c r="P74" t="s">
        <v>5</v>
      </c>
      <c r="Q74" t="s">
        <v>77</v>
      </c>
      <c r="R74" t="s">
        <v>76</v>
      </c>
      <c r="S74" t="s">
        <v>44</v>
      </c>
      <c r="T74" t="s">
        <v>24</v>
      </c>
      <c r="U74" s="5">
        <v>2.2999999999999998</v>
      </c>
      <c r="V74" s="4">
        <v>1</v>
      </c>
      <c r="W74" s="4">
        <v>0</v>
      </c>
      <c r="X74" s="2">
        <v>43494</v>
      </c>
      <c r="Y74" s="4">
        <v>2</v>
      </c>
      <c r="Z74" s="4">
        <v>17</v>
      </c>
    </row>
    <row r="75" spans="1:26" x14ac:dyDescent="0.4">
      <c r="A75" t="s">
        <v>361</v>
      </c>
      <c r="B75" s="4">
        <v>10284</v>
      </c>
      <c r="C75" s="1">
        <v>61584</v>
      </c>
      <c r="D75" t="s">
        <v>11</v>
      </c>
      <c r="E75" t="s">
        <v>10</v>
      </c>
      <c r="F75" s="4">
        <v>2351</v>
      </c>
      <c r="G75" s="2">
        <v>28826</v>
      </c>
      <c r="H75" t="s">
        <v>9</v>
      </c>
      <c r="I75" t="s">
        <v>47</v>
      </c>
      <c r="J75" t="s">
        <v>40</v>
      </c>
      <c r="K75" s="2">
        <v>40802</v>
      </c>
      <c r="L75" s="3">
        <f>DATEDIF(HR_Data[[#This Row],[DOB]],HR_Data[[#This Row],[Date of Hire]],"Y")</f>
        <v>32</v>
      </c>
      <c r="N75" s="4" t="str">
        <f>IFERROR(DATEDIF(HR_Data[[#This Row],[Date of Hire]],HR_Data[[#This Row],[Date of Termination]],"Y"),"")</f>
        <v/>
      </c>
      <c r="O75" t="s">
        <v>6</v>
      </c>
      <c r="P75" t="s">
        <v>5</v>
      </c>
      <c r="Q75" t="s">
        <v>4</v>
      </c>
      <c r="R75" t="s">
        <v>26</v>
      </c>
      <c r="S75" t="s">
        <v>55</v>
      </c>
      <c r="T75" t="s">
        <v>59</v>
      </c>
      <c r="U75" s="5">
        <v>3.88</v>
      </c>
      <c r="V75" s="4">
        <v>4</v>
      </c>
      <c r="W75" s="4">
        <v>0</v>
      </c>
      <c r="X75" s="2">
        <v>43483</v>
      </c>
      <c r="Y75" s="4">
        <v>0</v>
      </c>
      <c r="Z75" s="4">
        <v>6</v>
      </c>
    </row>
    <row r="76" spans="1:26" x14ac:dyDescent="0.4">
      <c r="A76" t="s">
        <v>360</v>
      </c>
      <c r="B76" s="4">
        <v>10207</v>
      </c>
      <c r="C76" s="1">
        <v>46335</v>
      </c>
      <c r="D76" t="s">
        <v>11</v>
      </c>
      <c r="E76" t="s">
        <v>10</v>
      </c>
      <c r="F76" s="4">
        <v>2125</v>
      </c>
      <c r="G76" s="2">
        <v>31692</v>
      </c>
      <c r="H76" t="s">
        <v>9</v>
      </c>
      <c r="I76" t="s">
        <v>17</v>
      </c>
      <c r="J76" t="s">
        <v>16</v>
      </c>
      <c r="K76" s="2">
        <v>40803</v>
      </c>
      <c r="L76" s="3">
        <f>DATEDIF(HR_Data[[#This Row],[DOB]],HR_Data[[#This Row],[Date of Hire]],"Y")</f>
        <v>24</v>
      </c>
      <c r="N76" s="4" t="str">
        <f>IFERROR(DATEDIF(HR_Data[[#This Row],[Date of Hire]],HR_Data[[#This Row],[Date of Termination]],"Y"),"")</f>
        <v/>
      </c>
      <c r="O76" t="s">
        <v>6</v>
      </c>
      <c r="P76" t="s">
        <v>5</v>
      </c>
      <c r="Q76" t="s">
        <v>4</v>
      </c>
      <c r="R76" t="s">
        <v>3</v>
      </c>
      <c r="S76" t="s">
        <v>60</v>
      </c>
      <c r="T76" t="s">
        <v>1</v>
      </c>
      <c r="U76" s="5">
        <v>3.4</v>
      </c>
      <c r="V76" s="4">
        <v>5</v>
      </c>
      <c r="W76" s="4">
        <v>0</v>
      </c>
      <c r="X76" s="2">
        <v>43515</v>
      </c>
      <c r="Y76" s="4">
        <v>0</v>
      </c>
      <c r="Z76" s="4">
        <v>15</v>
      </c>
    </row>
    <row r="77" spans="1:26" x14ac:dyDescent="0.4">
      <c r="A77" t="s">
        <v>359</v>
      </c>
      <c r="B77" s="4">
        <v>10133</v>
      </c>
      <c r="C77" s="1">
        <v>70621</v>
      </c>
      <c r="D77" t="s">
        <v>132</v>
      </c>
      <c r="E77" t="s">
        <v>10</v>
      </c>
      <c r="F77" s="4">
        <v>2119</v>
      </c>
      <c r="G77" s="2">
        <v>32342</v>
      </c>
      <c r="H77" t="s">
        <v>9</v>
      </c>
      <c r="I77" t="s">
        <v>47</v>
      </c>
      <c r="J77" t="s">
        <v>16</v>
      </c>
      <c r="K77" s="2">
        <v>40804</v>
      </c>
      <c r="L77" s="3">
        <f>DATEDIF(HR_Data[[#This Row],[DOB]],HR_Data[[#This Row],[Date of Hire]],"Y")</f>
        <v>23</v>
      </c>
      <c r="N77" s="4" t="str">
        <f>IFERROR(DATEDIF(HR_Data[[#This Row],[Date of Hire]],HR_Data[[#This Row],[Date of Termination]],"Y"),"")</f>
        <v/>
      </c>
      <c r="O77" t="s">
        <v>6</v>
      </c>
      <c r="P77" t="s">
        <v>5</v>
      </c>
      <c r="Q77" t="s">
        <v>15</v>
      </c>
      <c r="R77" t="s">
        <v>52</v>
      </c>
      <c r="S77" t="s">
        <v>13</v>
      </c>
      <c r="T77" t="s">
        <v>1</v>
      </c>
      <c r="U77" s="5">
        <v>4.1100000000000003</v>
      </c>
      <c r="V77" s="4">
        <v>4</v>
      </c>
      <c r="W77" s="4">
        <v>6</v>
      </c>
      <c r="X77" s="2">
        <v>43521</v>
      </c>
      <c r="Y77" s="4">
        <v>0</v>
      </c>
      <c r="Z77" s="4">
        <v>16</v>
      </c>
    </row>
    <row r="78" spans="1:26" x14ac:dyDescent="0.4">
      <c r="A78" t="s">
        <v>358</v>
      </c>
      <c r="B78" s="4">
        <v>10028</v>
      </c>
      <c r="C78" s="1">
        <v>138888</v>
      </c>
      <c r="D78" t="s">
        <v>357</v>
      </c>
      <c r="E78" t="s">
        <v>10</v>
      </c>
      <c r="F78" s="4">
        <v>1886</v>
      </c>
      <c r="G78" s="2">
        <v>25758</v>
      </c>
      <c r="H78" t="s">
        <v>31</v>
      </c>
      <c r="I78" t="s">
        <v>17</v>
      </c>
      <c r="J78" t="s">
        <v>40</v>
      </c>
      <c r="K78" s="2">
        <v>40805</v>
      </c>
      <c r="L78" s="3">
        <f>DATEDIF(HR_Data[[#This Row],[DOB]],HR_Data[[#This Row],[Date of Hire]],"Y")</f>
        <v>41</v>
      </c>
      <c r="N78" s="4" t="str">
        <f>IFERROR(DATEDIF(HR_Data[[#This Row],[Date of Hire]],HR_Data[[#This Row],[Date of Termination]],"Y"),"")</f>
        <v/>
      </c>
      <c r="O78" t="s">
        <v>6</v>
      </c>
      <c r="P78" t="s">
        <v>5</v>
      </c>
      <c r="Q78" t="s">
        <v>15</v>
      </c>
      <c r="R78" t="s">
        <v>154</v>
      </c>
      <c r="S78" t="s">
        <v>55</v>
      </c>
      <c r="T78" t="s">
        <v>20</v>
      </c>
      <c r="U78" s="5">
        <v>4.3</v>
      </c>
      <c r="V78" s="4">
        <v>5</v>
      </c>
      <c r="W78" s="4">
        <v>5</v>
      </c>
      <c r="X78" s="2">
        <v>43556</v>
      </c>
      <c r="Y78" s="4">
        <v>0</v>
      </c>
      <c r="Z78" s="4">
        <v>4</v>
      </c>
    </row>
    <row r="79" spans="1:26" x14ac:dyDescent="0.4">
      <c r="A79" t="s">
        <v>356</v>
      </c>
      <c r="B79" s="4">
        <v>10006</v>
      </c>
      <c r="C79" s="1">
        <v>74241</v>
      </c>
      <c r="D79" t="s">
        <v>79</v>
      </c>
      <c r="E79" t="s">
        <v>355</v>
      </c>
      <c r="F79" s="4">
        <v>90007</v>
      </c>
      <c r="G79" s="2">
        <v>32455</v>
      </c>
      <c r="H79" t="s">
        <v>9</v>
      </c>
      <c r="I79" t="s">
        <v>17</v>
      </c>
      <c r="J79" t="s">
        <v>16</v>
      </c>
      <c r="K79" s="2">
        <v>40806</v>
      </c>
      <c r="L79" s="3">
        <f>DATEDIF(HR_Data[[#This Row],[DOB]],HR_Data[[#This Row],[Date of Hire]],"Y")</f>
        <v>22</v>
      </c>
      <c r="N79" s="4" t="str">
        <f>IFERROR(DATEDIF(HR_Data[[#This Row],[Date of Hire]],HR_Data[[#This Row],[Date of Termination]],"Y"),"")</f>
        <v/>
      </c>
      <c r="O79" t="s">
        <v>6</v>
      </c>
      <c r="P79" t="s">
        <v>5</v>
      </c>
      <c r="Q79" t="s">
        <v>77</v>
      </c>
      <c r="R79" t="s">
        <v>97</v>
      </c>
      <c r="S79" t="s">
        <v>55</v>
      </c>
      <c r="T79" t="s">
        <v>20</v>
      </c>
      <c r="U79" s="5">
        <v>4.7699999999999996</v>
      </c>
      <c r="V79" s="4">
        <v>5</v>
      </c>
      <c r="W79" s="4">
        <v>0</v>
      </c>
      <c r="X79" s="2">
        <v>43492</v>
      </c>
      <c r="Y79" s="4">
        <v>0</v>
      </c>
      <c r="Z79" s="4">
        <v>14</v>
      </c>
    </row>
    <row r="80" spans="1:26" x14ac:dyDescent="0.4">
      <c r="A80" t="s">
        <v>354</v>
      </c>
      <c r="B80" s="4">
        <v>10105</v>
      </c>
      <c r="C80" s="1">
        <v>75188</v>
      </c>
      <c r="D80" t="s">
        <v>64</v>
      </c>
      <c r="E80" t="s">
        <v>10</v>
      </c>
      <c r="F80" s="4">
        <v>1731</v>
      </c>
      <c r="G80" s="2">
        <v>26996</v>
      </c>
      <c r="H80" t="s">
        <v>9</v>
      </c>
      <c r="I80" t="s">
        <v>17</v>
      </c>
      <c r="J80" t="s">
        <v>16</v>
      </c>
      <c r="K80" s="2">
        <v>40807</v>
      </c>
      <c r="L80" s="3">
        <f>DATEDIF(HR_Data[[#This Row],[DOB]],HR_Data[[#This Row],[Date of Hire]],"Y")</f>
        <v>37</v>
      </c>
      <c r="N80" s="4" t="str">
        <f>IFERROR(DATEDIF(HR_Data[[#This Row],[Date of Hire]],HR_Data[[#This Row],[Date of Termination]],"Y"),"")</f>
        <v/>
      </c>
      <c r="O80" t="s">
        <v>6</v>
      </c>
      <c r="P80" t="s">
        <v>5</v>
      </c>
      <c r="Q80" t="s">
        <v>4</v>
      </c>
      <c r="R80" t="s">
        <v>21</v>
      </c>
      <c r="S80" t="s">
        <v>25</v>
      </c>
      <c r="T80" t="s">
        <v>1</v>
      </c>
      <c r="U80" s="5">
        <v>4.5199999999999996</v>
      </c>
      <c r="V80" s="4">
        <v>4</v>
      </c>
      <c r="W80" s="4">
        <v>0</v>
      </c>
      <c r="X80" s="2">
        <v>43480</v>
      </c>
      <c r="Y80" s="4">
        <v>0</v>
      </c>
      <c r="Z80" s="4">
        <v>4</v>
      </c>
    </row>
    <row r="81" spans="1:26" x14ac:dyDescent="0.4">
      <c r="A81" t="s">
        <v>353</v>
      </c>
      <c r="B81" s="4">
        <v>10211</v>
      </c>
      <c r="C81" s="1">
        <v>62514</v>
      </c>
      <c r="D81" t="s">
        <v>11</v>
      </c>
      <c r="E81" t="s">
        <v>10</v>
      </c>
      <c r="F81" s="4">
        <v>1749</v>
      </c>
      <c r="G81" s="2">
        <v>26930</v>
      </c>
      <c r="H81" t="s">
        <v>9</v>
      </c>
      <c r="I81" t="s">
        <v>47</v>
      </c>
      <c r="J81" t="s">
        <v>16</v>
      </c>
      <c r="K81" s="2">
        <v>40808</v>
      </c>
      <c r="L81" s="3">
        <f>DATEDIF(HR_Data[[#This Row],[DOB]],HR_Data[[#This Row],[Date of Hire]],"Y")</f>
        <v>37</v>
      </c>
      <c r="N81" s="4" t="str">
        <f>IFERROR(DATEDIF(HR_Data[[#This Row],[Date of Hire]],HR_Data[[#This Row],[Date of Termination]],"Y"),"")</f>
        <v/>
      </c>
      <c r="O81" t="s">
        <v>6</v>
      </c>
      <c r="P81" t="s">
        <v>5</v>
      </c>
      <c r="Q81" t="s">
        <v>4</v>
      </c>
      <c r="R81" t="s">
        <v>38</v>
      </c>
      <c r="S81" t="s">
        <v>25</v>
      </c>
      <c r="T81" t="s">
        <v>1</v>
      </c>
      <c r="U81" s="5">
        <v>2.9</v>
      </c>
      <c r="V81" s="4">
        <v>3</v>
      </c>
      <c r="W81" s="4">
        <v>0</v>
      </c>
      <c r="X81" s="2">
        <v>43486</v>
      </c>
      <c r="Y81" s="4">
        <v>0</v>
      </c>
      <c r="Z81" s="4">
        <v>6</v>
      </c>
    </row>
    <row r="82" spans="1:26" x14ac:dyDescent="0.4">
      <c r="A82" t="s">
        <v>352</v>
      </c>
      <c r="B82" s="4">
        <v>10064</v>
      </c>
      <c r="C82" s="1">
        <v>60070</v>
      </c>
      <c r="D82" t="s">
        <v>11</v>
      </c>
      <c r="E82" t="s">
        <v>10</v>
      </c>
      <c r="F82" s="4">
        <v>2343</v>
      </c>
      <c r="G82" s="2">
        <v>33486</v>
      </c>
      <c r="H82" t="s">
        <v>9</v>
      </c>
      <c r="I82" t="s">
        <v>47</v>
      </c>
      <c r="J82" t="s">
        <v>16</v>
      </c>
      <c r="K82" s="2">
        <v>40809</v>
      </c>
      <c r="L82" s="3">
        <f>DATEDIF(HR_Data[[#This Row],[DOB]],HR_Data[[#This Row],[Date of Hire]],"Y")</f>
        <v>20</v>
      </c>
      <c r="M82" s="2">
        <v>42892</v>
      </c>
      <c r="N82" s="4">
        <f>IFERROR(DATEDIF(HR_Data[[#This Row],[Date of Hire]],HR_Data[[#This Row],[Date of Termination]],"Y"),"")</f>
        <v>5</v>
      </c>
      <c r="O82" t="s">
        <v>103</v>
      </c>
      <c r="P82" t="s">
        <v>27</v>
      </c>
      <c r="Q82" t="s">
        <v>4</v>
      </c>
      <c r="R82" t="s">
        <v>30</v>
      </c>
      <c r="S82" t="s">
        <v>25</v>
      </c>
      <c r="T82" t="s">
        <v>1</v>
      </c>
      <c r="U82" s="5">
        <v>5</v>
      </c>
      <c r="V82" s="4">
        <v>3</v>
      </c>
      <c r="W82" s="4">
        <v>0</v>
      </c>
      <c r="X82" s="2">
        <v>42982</v>
      </c>
      <c r="Y82" s="4">
        <v>0</v>
      </c>
      <c r="Z82" s="4">
        <v>7</v>
      </c>
    </row>
    <row r="83" spans="1:26" x14ac:dyDescent="0.4">
      <c r="A83" t="s">
        <v>351</v>
      </c>
      <c r="B83" s="4">
        <v>10247</v>
      </c>
      <c r="C83" s="1">
        <v>48888</v>
      </c>
      <c r="D83" t="s">
        <v>11</v>
      </c>
      <c r="E83" t="s">
        <v>10</v>
      </c>
      <c r="F83" s="4">
        <v>2026</v>
      </c>
      <c r="G83" s="2">
        <v>27180</v>
      </c>
      <c r="H83" t="s">
        <v>31</v>
      </c>
      <c r="I83" t="s">
        <v>17</v>
      </c>
      <c r="J83" t="s">
        <v>16</v>
      </c>
      <c r="K83" s="2">
        <v>40810</v>
      </c>
      <c r="L83" s="3">
        <f>DATEDIF(HR_Data[[#This Row],[DOB]],HR_Data[[#This Row],[Date of Hire]],"Y")</f>
        <v>37</v>
      </c>
      <c r="N83" s="4" t="str">
        <f>IFERROR(DATEDIF(HR_Data[[#This Row],[Date of Hire]],HR_Data[[#This Row],[Date of Termination]],"Y"),"")</f>
        <v/>
      </c>
      <c r="O83" t="s">
        <v>6</v>
      </c>
      <c r="P83" t="s">
        <v>5</v>
      </c>
      <c r="Q83" t="s">
        <v>4</v>
      </c>
      <c r="R83" t="s">
        <v>69</v>
      </c>
      <c r="S83" t="s">
        <v>2</v>
      </c>
      <c r="T83" t="s">
        <v>1</v>
      </c>
      <c r="U83" s="5">
        <v>4.7</v>
      </c>
      <c r="V83" s="4">
        <v>5</v>
      </c>
      <c r="W83" s="4">
        <v>0</v>
      </c>
      <c r="X83" s="2">
        <v>43509</v>
      </c>
      <c r="Y83" s="4">
        <v>0</v>
      </c>
      <c r="Z83" s="4">
        <v>8</v>
      </c>
    </row>
    <row r="84" spans="1:26" x14ac:dyDescent="0.4">
      <c r="A84" t="s">
        <v>350</v>
      </c>
      <c r="B84" s="4">
        <v>10235</v>
      </c>
      <c r="C84" s="1">
        <v>54285</v>
      </c>
      <c r="D84" t="s">
        <v>11</v>
      </c>
      <c r="E84" t="s">
        <v>10</v>
      </c>
      <c r="F84" s="4">
        <v>2045</v>
      </c>
      <c r="G84" s="2">
        <v>28727</v>
      </c>
      <c r="H84" t="s">
        <v>31</v>
      </c>
      <c r="I84" t="s">
        <v>47</v>
      </c>
      <c r="J84" t="s">
        <v>16</v>
      </c>
      <c r="K84" s="2">
        <v>40811</v>
      </c>
      <c r="L84" s="3">
        <f>DATEDIF(HR_Data[[#This Row],[DOB]],HR_Data[[#This Row],[Date of Hire]],"Y")</f>
        <v>33</v>
      </c>
      <c r="N84" s="4" t="str">
        <f>IFERROR(DATEDIF(HR_Data[[#This Row],[Date of Hire]],HR_Data[[#This Row],[Date of Termination]],"Y"),"")</f>
        <v/>
      </c>
      <c r="O84" t="s">
        <v>6</v>
      </c>
      <c r="P84" t="s">
        <v>5</v>
      </c>
      <c r="Q84" t="s">
        <v>4</v>
      </c>
      <c r="R84" t="s">
        <v>69</v>
      </c>
      <c r="S84" t="s">
        <v>13</v>
      </c>
      <c r="T84" t="s">
        <v>1</v>
      </c>
      <c r="U84" s="5">
        <v>4.2</v>
      </c>
      <c r="V84" s="4">
        <v>3</v>
      </c>
      <c r="W84" s="4">
        <v>0</v>
      </c>
      <c r="X84" s="2">
        <v>43770</v>
      </c>
      <c r="Y84" s="4">
        <v>0</v>
      </c>
      <c r="Z84" s="4">
        <v>3</v>
      </c>
    </row>
    <row r="85" spans="1:26" x14ac:dyDescent="0.4">
      <c r="A85" t="s">
        <v>349</v>
      </c>
      <c r="B85" s="4">
        <v>10299</v>
      </c>
      <c r="C85" s="1">
        <v>56847</v>
      </c>
      <c r="D85" t="s">
        <v>32</v>
      </c>
      <c r="E85" t="s">
        <v>10</v>
      </c>
      <c r="F85" s="4">
        <v>2133</v>
      </c>
      <c r="G85" s="2">
        <v>32745</v>
      </c>
      <c r="H85" t="s">
        <v>9</v>
      </c>
      <c r="I85" t="s">
        <v>98</v>
      </c>
      <c r="J85" t="s">
        <v>16</v>
      </c>
      <c r="K85" s="2">
        <v>40812</v>
      </c>
      <c r="L85" s="3">
        <f>DATEDIF(HR_Data[[#This Row],[DOB]],HR_Data[[#This Row],[Date of Hire]],"Y")</f>
        <v>22</v>
      </c>
      <c r="N85" s="4" t="str">
        <f>IFERROR(DATEDIF(HR_Data[[#This Row],[Date of Hire]],HR_Data[[#This Row],[Date of Termination]],"Y"),"")</f>
        <v/>
      </c>
      <c r="O85" t="s">
        <v>6</v>
      </c>
      <c r="P85" t="s">
        <v>5</v>
      </c>
      <c r="Q85" t="s">
        <v>4</v>
      </c>
      <c r="R85" t="s">
        <v>67</v>
      </c>
      <c r="S85" t="s">
        <v>55</v>
      </c>
      <c r="T85" t="s">
        <v>24</v>
      </c>
      <c r="U85" s="5">
        <v>3</v>
      </c>
      <c r="V85" s="4">
        <v>1</v>
      </c>
      <c r="W85" s="4">
        <v>0</v>
      </c>
      <c r="X85" s="2">
        <v>43521</v>
      </c>
      <c r="Y85" s="4">
        <v>2</v>
      </c>
      <c r="Z85" s="4">
        <v>5</v>
      </c>
    </row>
    <row r="86" spans="1:26" x14ac:dyDescent="0.4">
      <c r="A86" t="s">
        <v>348</v>
      </c>
      <c r="B86" s="4">
        <v>10280</v>
      </c>
      <c r="C86" s="1">
        <v>60340</v>
      </c>
      <c r="D86" t="s">
        <v>11</v>
      </c>
      <c r="E86" t="s">
        <v>10</v>
      </c>
      <c r="F86" s="4">
        <v>2129</v>
      </c>
      <c r="G86" s="2">
        <v>30561</v>
      </c>
      <c r="H86" t="s">
        <v>31</v>
      </c>
      <c r="I86" t="s">
        <v>17</v>
      </c>
      <c r="J86" t="s">
        <v>16</v>
      </c>
      <c r="K86" s="2">
        <v>40813</v>
      </c>
      <c r="L86" s="3">
        <f>DATEDIF(HR_Data[[#This Row],[DOB]],HR_Data[[#This Row],[Date of Hire]],"Y")</f>
        <v>28</v>
      </c>
      <c r="M86" s="2">
        <v>43370</v>
      </c>
      <c r="N86" s="4">
        <f>IFERROR(DATEDIF(HR_Data[[#This Row],[Date of Hire]],HR_Data[[#This Row],[Date of Termination]],"Y"),"")</f>
        <v>7</v>
      </c>
      <c r="O86" t="s">
        <v>166</v>
      </c>
      <c r="P86" t="s">
        <v>70</v>
      </c>
      <c r="Q86" t="s">
        <v>4</v>
      </c>
      <c r="R86" t="s">
        <v>67</v>
      </c>
      <c r="S86" t="s">
        <v>25</v>
      </c>
      <c r="T86" t="s">
        <v>59</v>
      </c>
      <c r="U86" s="5">
        <v>5</v>
      </c>
      <c r="V86" s="4">
        <v>4</v>
      </c>
      <c r="W86" s="4">
        <v>0</v>
      </c>
      <c r="X86" s="2">
        <v>43438</v>
      </c>
      <c r="Y86" s="4">
        <v>5</v>
      </c>
      <c r="Z86" s="4">
        <v>16</v>
      </c>
    </row>
    <row r="87" spans="1:26" x14ac:dyDescent="0.4">
      <c r="A87" t="s">
        <v>347</v>
      </c>
      <c r="B87" s="4">
        <v>10296</v>
      </c>
      <c r="C87" s="1">
        <v>59124</v>
      </c>
      <c r="D87" t="s">
        <v>11</v>
      </c>
      <c r="E87" t="s">
        <v>10</v>
      </c>
      <c r="F87" s="4">
        <v>2458</v>
      </c>
      <c r="G87" s="2">
        <v>32634</v>
      </c>
      <c r="H87" t="s">
        <v>9</v>
      </c>
      <c r="I87" t="s">
        <v>17</v>
      </c>
      <c r="J87" t="s">
        <v>16</v>
      </c>
      <c r="K87" s="2">
        <v>40814</v>
      </c>
      <c r="L87" s="3">
        <f>DATEDIF(HR_Data[[#This Row],[DOB]],HR_Data[[#This Row],[Date of Hire]],"Y")</f>
        <v>22</v>
      </c>
      <c r="M87" s="2">
        <v>43156</v>
      </c>
      <c r="N87" s="4">
        <f>IFERROR(DATEDIF(HR_Data[[#This Row],[Date of Hire]],HR_Data[[#This Row],[Date of Termination]],"Y"),"")</f>
        <v>6</v>
      </c>
      <c r="O87" t="s">
        <v>73</v>
      </c>
      <c r="P87" t="s">
        <v>70</v>
      </c>
      <c r="Q87" t="s">
        <v>4</v>
      </c>
      <c r="R87" t="s">
        <v>61</v>
      </c>
      <c r="S87" t="s">
        <v>25</v>
      </c>
      <c r="T87" t="s">
        <v>59</v>
      </c>
      <c r="U87" s="5">
        <v>2.2999999999999998</v>
      </c>
      <c r="V87" s="4">
        <v>3</v>
      </c>
      <c r="W87" s="4">
        <v>0</v>
      </c>
      <c r="X87" s="2">
        <v>42750</v>
      </c>
      <c r="Y87" s="4">
        <v>5</v>
      </c>
      <c r="Z87" s="4">
        <v>19</v>
      </c>
    </row>
    <row r="88" spans="1:26" x14ac:dyDescent="0.4">
      <c r="A88" t="s">
        <v>346</v>
      </c>
      <c r="B88" s="4">
        <v>10290</v>
      </c>
      <c r="C88" s="1">
        <v>99280</v>
      </c>
      <c r="D88" t="s">
        <v>93</v>
      </c>
      <c r="E88" t="s">
        <v>10</v>
      </c>
      <c r="F88" s="4">
        <v>1749</v>
      </c>
      <c r="G88" s="2">
        <v>31912</v>
      </c>
      <c r="H88" t="s">
        <v>9</v>
      </c>
      <c r="I88" t="s">
        <v>47</v>
      </c>
      <c r="J88" t="s">
        <v>40</v>
      </c>
      <c r="K88" s="2">
        <v>40815</v>
      </c>
      <c r="L88" s="3">
        <f>DATEDIF(HR_Data[[#This Row],[DOB]],HR_Data[[#This Row],[Date of Hire]],"Y")</f>
        <v>24</v>
      </c>
      <c r="M88" s="2">
        <v>41430</v>
      </c>
      <c r="N88" s="4">
        <f>IFERROR(DATEDIF(HR_Data[[#This Row],[Date of Hire]],HR_Data[[#This Row],[Date of Termination]],"Y"),"")</f>
        <v>1</v>
      </c>
      <c r="O88" t="s">
        <v>166</v>
      </c>
      <c r="P88" t="s">
        <v>70</v>
      </c>
      <c r="Q88" t="s">
        <v>91</v>
      </c>
      <c r="R88" t="s">
        <v>90</v>
      </c>
      <c r="S88" t="s">
        <v>55</v>
      </c>
      <c r="T88" t="s">
        <v>59</v>
      </c>
      <c r="U88" s="5">
        <v>2.1</v>
      </c>
      <c r="V88" s="4">
        <v>5</v>
      </c>
      <c r="W88" s="4">
        <v>4</v>
      </c>
      <c r="X88" s="2">
        <v>41190</v>
      </c>
      <c r="Y88" s="4">
        <v>4</v>
      </c>
      <c r="Z88" s="4">
        <v>19</v>
      </c>
    </row>
    <row r="89" spans="1:26" x14ac:dyDescent="0.4">
      <c r="A89" t="s">
        <v>345</v>
      </c>
      <c r="B89" s="4">
        <v>10263</v>
      </c>
      <c r="C89" s="1">
        <v>71776</v>
      </c>
      <c r="D89" t="s">
        <v>32</v>
      </c>
      <c r="E89" t="s">
        <v>10</v>
      </c>
      <c r="F89" s="4">
        <v>1824</v>
      </c>
      <c r="G89" s="2">
        <v>28755</v>
      </c>
      <c r="H89" t="s">
        <v>9</v>
      </c>
      <c r="I89" t="s">
        <v>47</v>
      </c>
      <c r="J89" t="s">
        <v>40</v>
      </c>
      <c r="K89" s="2">
        <v>40816</v>
      </c>
      <c r="L89" s="3">
        <f>DATEDIF(HR_Data[[#This Row],[DOB]],HR_Data[[#This Row],[Date of Hire]],"Y")</f>
        <v>33</v>
      </c>
      <c r="N89" s="4" t="str">
        <f>IFERROR(DATEDIF(HR_Data[[#This Row],[Date of Hire]],HR_Data[[#This Row],[Date of Termination]],"Y"),"")</f>
        <v/>
      </c>
      <c r="O89" t="s">
        <v>6</v>
      </c>
      <c r="P89" t="s">
        <v>5</v>
      </c>
      <c r="Q89" t="s">
        <v>4</v>
      </c>
      <c r="R89" t="s">
        <v>61</v>
      </c>
      <c r="S89" t="s">
        <v>2</v>
      </c>
      <c r="T89" t="s">
        <v>1</v>
      </c>
      <c r="U89" s="5">
        <v>4.4000000000000004</v>
      </c>
      <c r="V89" s="4">
        <v>5</v>
      </c>
      <c r="W89" s="4">
        <v>0</v>
      </c>
      <c r="X89" s="2">
        <v>43518</v>
      </c>
      <c r="Y89" s="4">
        <v>0</v>
      </c>
      <c r="Z89" s="4">
        <v>17</v>
      </c>
    </row>
    <row r="90" spans="1:26" x14ac:dyDescent="0.4">
      <c r="A90" t="s">
        <v>344</v>
      </c>
      <c r="B90" s="4">
        <v>10136</v>
      </c>
      <c r="C90" s="1">
        <v>65902</v>
      </c>
      <c r="D90" t="s">
        <v>32</v>
      </c>
      <c r="E90" t="s">
        <v>10</v>
      </c>
      <c r="F90" s="4">
        <v>2324</v>
      </c>
      <c r="G90" s="2">
        <v>32047</v>
      </c>
      <c r="H90" t="s">
        <v>9</v>
      </c>
      <c r="I90" t="s">
        <v>17</v>
      </c>
      <c r="J90" t="s">
        <v>40</v>
      </c>
      <c r="K90" s="2">
        <v>40817</v>
      </c>
      <c r="L90" s="3">
        <f>DATEDIF(HR_Data[[#This Row],[DOB]],HR_Data[[#This Row],[Date of Hire]],"Y")</f>
        <v>24</v>
      </c>
      <c r="N90" s="4" t="str">
        <f>IFERROR(DATEDIF(HR_Data[[#This Row],[Date of Hire]],HR_Data[[#This Row],[Date of Termination]],"Y"),"")</f>
        <v/>
      </c>
      <c r="O90" t="s">
        <v>6</v>
      </c>
      <c r="P90" t="s">
        <v>5</v>
      </c>
      <c r="Q90" t="s">
        <v>4</v>
      </c>
      <c r="R90" t="s">
        <v>49</v>
      </c>
      <c r="S90" t="s">
        <v>2</v>
      </c>
      <c r="T90" t="s">
        <v>1</v>
      </c>
      <c r="U90" s="5">
        <v>4</v>
      </c>
      <c r="V90" s="4">
        <v>4</v>
      </c>
      <c r="W90" s="4">
        <v>0</v>
      </c>
      <c r="X90" s="2">
        <v>43647</v>
      </c>
      <c r="Y90" s="4">
        <v>0</v>
      </c>
      <c r="Z90" s="4">
        <v>7</v>
      </c>
    </row>
    <row r="91" spans="1:26" x14ac:dyDescent="0.4">
      <c r="A91" t="s">
        <v>343</v>
      </c>
      <c r="B91" s="4">
        <v>10189</v>
      </c>
      <c r="C91" s="1">
        <v>57748</v>
      </c>
      <c r="D91" t="s">
        <v>11</v>
      </c>
      <c r="E91" t="s">
        <v>10</v>
      </c>
      <c r="F91" s="4">
        <v>2176</v>
      </c>
      <c r="G91" s="2">
        <v>20193</v>
      </c>
      <c r="H91" t="s">
        <v>9</v>
      </c>
      <c r="I91" t="s">
        <v>47</v>
      </c>
      <c r="J91" t="s">
        <v>16</v>
      </c>
      <c r="K91" s="2">
        <v>40818</v>
      </c>
      <c r="L91" s="3">
        <f>DATEDIF(HR_Data[[#This Row],[DOB]],HR_Data[[#This Row],[Date of Hire]],"Y")</f>
        <v>56</v>
      </c>
      <c r="M91" s="2">
        <v>42507</v>
      </c>
      <c r="N91" s="4">
        <f>IFERROR(DATEDIF(HR_Data[[#This Row],[Date of Hire]],HR_Data[[#This Row],[Date of Termination]],"Y"),"")</f>
        <v>4</v>
      </c>
      <c r="O91" t="s">
        <v>103</v>
      </c>
      <c r="P91" t="s">
        <v>27</v>
      </c>
      <c r="Q91" t="s">
        <v>4</v>
      </c>
      <c r="R91" t="s">
        <v>49</v>
      </c>
      <c r="S91" t="s">
        <v>25</v>
      </c>
      <c r="T91" t="s">
        <v>1</v>
      </c>
      <c r="U91" s="5">
        <v>3.13</v>
      </c>
      <c r="V91" s="4">
        <v>3</v>
      </c>
      <c r="W91" s="4">
        <v>0</v>
      </c>
      <c r="X91" s="2">
        <v>42462</v>
      </c>
      <c r="Y91" s="4">
        <v>0</v>
      </c>
      <c r="Z91" s="4">
        <v>16</v>
      </c>
    </row>
    <row r="92" spans="1:26" x14ac:dyDescent="0.4">
      <c r="A92" t="s">
        <v>342</v>
      </c>
      <c r="B92" s="4">
        <v>10308</v>
      </c>
      <c r="C92" s="1">
        <v>64057</v>
      </c>
      <c r="D92" t="s">
        <v>11</v>
      </c>
      <c r="E92" t="s">
        <v>10</v>
      </c>
      <c r="F92" s="4">
        <v>2132</v>
      </c>
      <c r="G92" s="2">
        <v>32799</v>
      </c>
      <c r="H92" t="s">
        <v>31</v>
      </c>
      <c r="I92" t="s">
        <v>47</v>
      </c>
      <c r="J92" t="s">
        <v>16</v>
      </c>
      <c r="K92" s="2">
        <v>40819</v>
      </c>
      <c r="L92" s="3">
        <f>DATEDIF(HR_Data[[#This Row],[DOB]],HR_Data[[#This Row],[Date of Hire]],"Y")</f>
        <v>21</v>
      </c>
      <c r="N92" s="4" t="str">
        <f>IFERROR(DATEDIF(HR_Data[[#This Row],[Date of Hire]],HR_Data[[#This Row],[Date of Termination]],"Y"),"")</f>
        <v/>
      </c>
      <c r="O92" t="s">
        <v>6</v>
      </c>
      <c r="P92" t="s">
        <v>5</v>
      </c>
      <c r="Q92" t="s">
        <v>4</v>
      </c>
      <c r="R92" t="s">
        <v>45</v>
      </c>
      <c r="S92" t="s">
        <v>55</v>
      </c>
      <c r="T92" t="s">
        <v>24</v>
      </c>
      <c r="U92" s="5">
        <v>1.56</v>
      </c>
      <c r="V92" s="4">
        <v>5</v>
      </c>
      <c r="W92" s="4">
        <v>0</v>
      </c>
      <c r="X92" s="2">
        <v>43525</v>
      </c>
      <c r="Y92" s="4">
        <v>6</v>
      </c>
      <c r="Z92" s="4">
        <v>15</v>
      </c>
    </row>
    <row r="93" spans="1:26" x14ac:dyDescent="0.4">
      <c r="A93" t="s">
        <v>341</v>
      </c>
      <c r="B93" s="4">
        <v>10309</v>
      </c>
      <c r="C93" s="1">
        <v>53366</v>
      </c>
      <c r="D93" t="s">
        <v>87</v>
      </c>
      <c r="E93" t="s">
        <v>10</v>
      </c>
      <c r="F93" s="4">
        <v>2138</v>
      </c>
      <c r="G93" s="2">
        <v>31946</v>
      </c>
      <c r="H93" t="s">
        <v>31</v>
      </c>
      <c r="I93" t="s">
        <v>17</v>
      </c>
      <c r="J93" t="s">
        <v>16</v>
      </c>
      <c r="K93" s="2">
        <v>40820</v>
      </c>
      <c r="L93" s="3">
        <f>DATEDIF(HR_Data[[#This Row],[DOB]],HR_Data[[#This Row],[Date of Hire]],"Y")</f>
        <v>24</v>
      </c>
      <c r="N93" s="4" t="str">
        <f>IFERROR(DATEDIF(HR_Data[[#This Row],[Date of Hire]],HR_Data[[#This Row],[Date of Termination]],"Y"),"")</f>
        <v/>
      </c>
      <c r="O93" t="s">
        <v>6</v>
      </c>
      <c r="P93" t="s">
        <v>5</v>
      </c>
      <c r="Q93" t="s">
        <v>15</v>
      </c>
      <c r="R93" t="s">
        <v>52</v>
      </c>
      <c r="S93" t="s">
        <v>2</v>
      </c>
      <c r="T93" t="s">
        <v>24</v>
      </c>
      <c r="U93" s="5">
        <v>1.2</v>
      </c>
      <c r="V93" s="4">
        <v>3</v>
      </c>
      <c r="W93" s="4">
        <v>6</v>
      </c>
      <c r="X93" s="2">
        <v>43557</v>
      </c>
      <c r="Y93" s="4">
        <v>3</v>
      </c>
      <c r="Z93" s="4">
        <v>2</v>
      </c>
    </row>
    <row r="94" spans="1:26" x14ac:dyDescent="0.4">
      <c r="A94" t="s">
        <v>340</v>
      </c>
      <c r="B94" s="4">
        <v>10049</v>
      </c>
      <c r="C94" s="1">
        <v>58530</v>
      </c>
      <c r="D94" t="s">
        <v>11</v>
      </c>
      <c r="E94" t="s">
        <v>10</v>
      </c>
      <c r="F94" s="4">
        <v>2155</v>
      </c>
      <c r="G94" s="2">
        <v>29661</v>
      </c>
      <c r="H94" t="s">
        <v>9</v>
      </c>
      <c r="I94" t="s">
        <v>47</v>
      </c>
      <c r="J94" t="s">
        <v>16</v>
      </c>
      <c r="K94" s="2">
        <v>40821</v>
      </c>
      <c r="L94" s="3">
        <f>DATEDIF(HR_Data[[#This Row],[DOB]],HR_Data[[#This Row],[Date of Hire]],"Y")</f>
        <v>30</v>
      </c>
      <c r="N94" s="4" t="str">
        <f>IFERROR(DATEDIF(HR_Data[[#This Row],[Date of Hire]],HR_Data[[#This Row],[Date of Termination]],"Y"),"")</f>
        <v/>
      </c>
      <c r="O94" t="s">
        <v>6</v>
      </c>
      <c r="P94" t="s">
        <v>5</v>
      </c>
      <c r="Q94" t="s">
        <v>4</v>
      </c>
      <c r="R94" t="s">
        <v>26</v>
      </c>
      <c r="S94" t="s">
        <v>25</v>
      </c>
      <c r="T94" t="s">
        <v>1</v>
      </c>
      <c r="U94" s="5">
        <v>5</v>
      </c>
      <c r="V94" s="4">
        <v>5</v>
      </c>
      <c r="W94" s="4">
        <v>0</v>
      </c>
      <c r="X94" s="2">
        <v>43494</v>
      </c>
      <c r="Y94" s="4">
        <v>0</v>
      </c>
      <c r="Z94" s="4">
        <v>19</v>
      </c>
    </row>
    <row r="95" spans="1:26" x14ac:dyDescent="0.4">
      <c r="A95" t="s">
        <v>339</v>
      </c>
      <c r="B95" s="4">
        <v>10093</v>
      </c>
      <c r="C95" s="1">
        <v>72609</v>
      </c>
      <c r="D95" t="s">
        <v>32</v>
      </c>
      <c r="E95" t="s">
        <v>10</v>
      </c>
      <c r="F95" s="4">
        <v>2143</v>
      </c>
      <c r="G95" s="2">
        <v>29860</v>
      </c>
      <c r="H95" t="s">
        <v>31</v>
      </c>
      <c r="I95" t="s">
        <v>17</v>
      </c>
      <c r="J95" t="s">
        <v>16</v>
      </c>
      <c r="K95" s="2">
        <v>40822</v>
      </c>
      <c r="L95" s="3">
        <f>DATEDIF(HR_Data[[#This Row],[DOB]],HR_Data[[#This Row],[Date of Hire]],"Y")</f>
        <v>30</v>
      </c>
      <c r="M95" s="2">
        <v>41449</v>
      </c>
      <c r="N95" s="4">
        <f>IFERROR(DATEDIF(HR_Data[[#This Row],[Date of Hire]],HR_Data[[#This Row],[Date of Termination]],"Y"),"")</f>
        <v>1</v>
      </c>
      <c r="O95" t="s">
        <v>50</v>
      </c>
      <c r="P95" t="s">
        <v>27</v>
      </c>
      <c r="Q95" t="s">
        <v>4</v>
      </c>
      <c r="R95" t="s">
        <v>45</v>
      </c>
      <c r="S95" t="s">
        <v>25</v>
      </c>
      <c r="T95" t="s">
        <v>1</v>
      </c>
      <c r="U95" s="5">
        <v>4.76</v>
      </c>
      <c r="V95" s="4">
        <v>5</v>
      </c>
      <c r="W95" s="4">
        <v>0</v>
      </c>
      <c r="X95" s="2">
        <v>41398</v>
      </c>
      <c r="Y95" s="4">
        <v>0</v>
      </c>
      <c r="Z95" s="4">
        <v>20</v>
      </c>
    </row>
    <row r="96" spans="1:26" x14ac:dyDescent="0.4">
      <c r="A96" t="s">
        <v>338</v>
      </c>
      <c r="B96" s="4">
        <v>10163</v>
      </c>
      <c r="C96" s="1">
        <v>55965</v>
      </c>
      <c r="D96" t="s">
        <v>32</v>
      </c>
      <c r="E96" t="s">
        <v>10</v>
      </c>
      <c r="F96" s="4">
        <v>2170</v>
      </c>
      <c r="G96" s="2">
        <v>30628</v>
      </c>
      <c r="H96" t="s">
        <v>9</v>
      </c>
      <c r="I96" t="s">
        <v>47</v>
      </c>
      <c r="J96" t="s">
        <v>16</v>
      </c>
      <c r="K96" s="2">
        <v>40823</v>
      </c>
      <c r="L96" s="3">
        <f>DATEDIF(HR_Data[[#This Row],[DOB]],HR_Data[[#This Row],[Date of Hire]],"Y")</f>
        <v>27</v>
      </c>
      <c r="M96" s="2">
        <v>41283</v>
      </c>
      <c r="N96" s="4">
        <f>IFERROR(DATEDIF(HR_Data[[#This Row],[Date of Hire]],HR_Data[[#This Row],[Date of Termination]],"Y"),"")</f>
        <v>1</v>
      </c>
      <c r="O96" t="s">
        <v>62</v>
      </c>
      <c r="P96" t="s">
        <v>27</v>
      </c>
      <c r="Q96" t="s">
        <v>4</v>
      </c>
      <c r="R96" t="s">
        <v>38</v>
      </c>
      <c r="S96" t="s">
        <v>25</v>
      </c>
      <c r="T96" t="s">
        <v>1</v>
      </c>
      <c r="U96" s="5">
        <v>3.66</v>
      </c>
      <c r="V96" s="4">
        <v>3</v>
      </c>
      <c r="W96" s="4">
        <v>0</v>
      </c>
      <c r="X96" s="2">
        <v>41091</v>
      </c>
      <c r="Y96" s="4">
        <v>0</v>
      </c>
      <c r="Z96" s="4">
        <v>6</v>
      </c>
    </row>
    <row r="97" spans="1:26" x14ac:dyDescent="0.4">
      <c r="A97" t="s">
        <v>337</v>
      </c>
      <c r="B97" s="4">
        <v>10305</v>
      </c>
      <c r="C97" s="1">
        <v>70187</v>
      </c>
      <c r="D97" t="s">
        <v>79</v>
      </c>
      <c r="E97" t="s">
        <v>10</v>
      </c>
      <c r="F97" s="4">
        <v>2330</v>
      </c>
      <c r="G97" s="2">
        <v>27582</v>
      </c>
      <c r="H97" t="s">
        <v>31</v>
      </c>
      <c r="I97" t="s">
        <v>47</v>
      </c>
      <c r="J97" t="s">
        <v>16</v>
      </c>
      <c r="K97" s="2">
        <v>40824</v>
      </c>
      <c r="L97" s="3">
        <f>DATEDIF(HR_Data[[#This Row],[DOB]],HR_Data[[#This Row],[Date of Hire]],"Y")</f>
        <v>36</v>
      </c>
      <c r="M97" s="2">
        <v>43331</v>
      </c>
      <c r="N97" s="4">
        <f>IFERROR(DATEDIF(HR_Data[[#This Row],[Date of Hire]],HR_Data[[#This Row],[Date of Termination]],"Y"),"")</f>
        <v>6</v>
      </c>
      <c r="O97" t="s">
        <v>336</v>
      </c>
      <c r="P97" t="s">
        <v>70</v>
      </c>
      <c r="Q97" t="s">
        <v>77</v>
      </c>
      <c r="R97" t="s">
        <v>97</v>
      </c>
      <c r="S97" t="s">
        <v>13</v>
      </c>
      <c r="T97" t="s">
        <v>24</v>
      </c>
      <c r="U97" s="5">
        <v>2</v>
      </c>
      <c r="V97" s="4">
        <v>5</v>
      </c>
      <c r="W97" s="4">
        <v>0</v>
      </c>
      <c r="X97" s="2">
        <v>43493</v>
      </c>
      <c r="Y97" s="4">
        <v>4</v>
      </c>
      <c r="Z97" s="4">
        <v>7</v>
      </c>
    </row>
    <row r="98" spans="1:26" x14ac:dyDescent="0.4">
      <c r="A98" t="s">
        <v>335</v>
      </c>
      <c r="B98" s="4">
        <v>10015</v>
      </c>
      <c r="C98" s="1">
        <v>178000</v>
      </c>
      <c r="D98" t="s">
        <v>334</v>
      </c>
      <c r="E98" t="s">
        <v>10</v>
      </c>
      <c r="F98" s="4">
        <v>1460</v>
      </c>
      <c r="G98" s="2">
        <v>29407</v>
      </c>
      <c r="H98" t="s">
        <v>31</v>
      </c>
      <c r="I98" t="s">
        <v>17</v>
      </c>
      <c r="J98" t="s">
        <v>40</v>
      </c>
      <c r="K98" s="2">
        <v>40825</v>
      </c>
      <c r="L98" s="3">
        <f>DATEDIF(HR_Data[[#This Row],[DOB]],HR_Data[[#This Row],[Date of Hire]],"Y")</f>
        <v>31</v>
      </c>
      <c r="N98" s="4" t="str">
        <f>IFERROR(DATEDIF(HR_Data[[#This Row],[Date of Hire]],HR_Data[[#This Row],[Date of Termination]],"Y"),"")</f>
        <v/>
      </c>
      <c r="O98" t="s">
        <v>6</v>
      </c>
      <c r="P98" t="s">
        <v>5</v>
      </c>
      <c r="Q98" t="s">
        <v>15</v>
      </c>
      <c r="R98" t="s">
        <v>154</v>
      </c>
      <c r="S98" t="s">
        <v>55</v>
      </c>
      <c r="T98" t="s">
        <v>20</v>
      </c>
      <c r="U98" s="5">
        <v>5</v>
      </c>
      <c r="V98" s="4">
        <v>5</v>
      </c>
      <c r="W98" s="4">
        <v>5</v>
      </c>
      <c r="X98" s="2">
        <v>43647</v>
      </c>
      <c r="Y98" s="4">
        <v>0</v>
      </c>
      <c r="Z98" s="4">
        <v>15</v>
      </c>
    </row>
    <row r="99" spans="1:26" x14ac:dyDescent="0.4">
      <c r="A99" t="s">
        <v>333</v>
      </c>
      <c r="B99" s="4">
        <v>10080</v>
      </c>
      <c r="C99" s="1">
        <v>99351</v>
      </c>
      <c r="D99" t="s">
        <v>332</v>
      </c>
      <c r="E99" t="s">
        <v>10</v>
      </c>
      <c r="F99" s="4">
        <v>2050</v>
      </c>
      <c r="G99" s="2">
        <v>28961</v>
      </c>
      <c r="H99" t="s">
        <v>9</v>
      </c>
      <c r="I99" t="s">
        <v>47</v>
      </c>
      <c r="J99" t="s">
        <v>16</v>
      </c>
      <c r="K99" s="2">
        <v>40826</v>
      </c>
      <c r="L99" s="3">
        <f>DATEDIF(HR_Data[[#This Row],[DOB]],HR_Data[[#This Row],[Date of Hire]],"Y")</f>
        <v>32</v>
      </c>
      <c r="N99" s="4" t="str">
        <f>IFERROR(DATEDIF(HR_Data[[#This Row],[Date of Hire]],HR_Data[[#This Row],[Date of Termination]],"Y"),"")</f>
        <v/>
      </c>
      <c r="O99" t="s">
        <v>6</v>
      </c>
      <c r="P99" t="s">
        <v>5</v>
      </c>
      <c r="Q99" t="s">
        <v>121</v>
      </c>
      <c r="R99" t="s">
        <v>267</v>
      </c>
      <c r="S99" t="s">
        <v>102</v>
      </c>
      <c r="T99" t="s">
        <v>1</v>
      </c>
      <c r="U99" s="5">
        <v>5</v>
      </c>
      <c r="V99" s="4">
        <v>3</v>
      </c>
      <c r="W99" s="4">
        <v>2</v>
      </c>
      <c r="X99" s="2">
        <v>43679</v>
      </c>
      <c r="Y99" s="4">
        <v>0</v>
      </c>
      <c r="Z99" s="4">
        <v>3</v>
      </c>
    </row>
    <row r="100" spans="1:26" x14ac:dyDescent="0.4">
      <c r="A100" t="s">
        <v>331</v>
      </c>
      <c r="B100" s="4">
        <v>10258</v>
      </c>
      <c r="C100" s="1">
        <v>67251</v>
      </c>
      <c r="D100" t="s">
        <v>79</v>
      </c>
      <c r="E100" t="s">
        <v>243</v>
      </c>
      <c r="F100" s="4">
        <v>6050</v>
      </c>
      <c r="G100" s="2">
        <v>23251</v>
      </c>
      <c r="H100" t="s">
        <v>31</v>
      </c>
      <c r="I100" t="s">
        <v>17</v>
      </c>
      <c r="J100" t="s">
        <v>40</v>
      </c>
      <c r="K100" s="2">
        <v>40827</v>
      </c>
      <c r="L100" s="3">
        <f>DATEDIF(HR_Data[[#This Row],[DOB]],HR_Data[[#This Row],[Date of Hire]],"Y")</f>
        <v>48</v>
      </c>
      <c r="N100" s="4" t="str">
        <f>IFERROR(DATEDIF(HR_Data[[#This Row],[Date of Hire]],HR_Data[[#This Row],[Date of Termination]],"Y"),"")</f>
        <v/>
      </c>
      <c r="O100" t="s">
        <v>6</v>
      </c>
      <c r="P100" t="s">
        <v>5</v>
      </c>
      <c r="Q100" t="s">
        <v>77</v>
      </c>
      <c r="R100" t="s">
        <v>97</v>
      </c>
      <c r="S100" t="s">
        <v>60</v>
      </c>
      <c r="T100" t="s">
        <v>1</v>
      </c>
      <c r="U100" s="5">
        <v>4.3</v>
      </c>
      <c r="V100" s="4">
        <v>3</v>
      </c>
      <c r="W100" s="4">
        <v>0</v>
      </c>
      <c r="X100" s="2">
        <v>43492</v>
      </c>
      <c r="Y100" s="4">
        <v>2</v>
      </c>
      <c r="Z100" s="4">
        <v>7</v>
      </c>
    </row>
    <row r="101" spans="1:26" x14ac:dyDescent="0.4">
      <c r="A101" t="s">
        <v>330</v>
      </c>
      <c r="B101" s="4">
        <v>10273</v>
      </c>
      <c r="C101" s="1">
        <v>65707</v>
      </c>
      <c r="D101" t="s">
        <v>132</v>
      </c>
      <c r="E101" t="s">
        <v>243</v>
      </c>
      <c r="F101" s="4">
        <v>6040</v>
      </c>
      <c r="G101" s="2">
        <v>25025</v>
      </c>
      <c r="H101" t="s">
        <v>9</v>
      </c>
      <c r="I101" t="s">
        <v>17</v>
      </c>
      <c r="J101" t="s">
        <v>16</v>
      </c>
      <c r="K101" s="2">
        <v>40828</v>
      </c>
      <c r="L101" s="3">
        <f>DATEDIF(HR_Data[[#This Row],[DOB]],HR_Data[[#This Row],[Date of Hire]],"Y")</f>
        <v>43</v>
      </c>
      <c r="N101" s="4" t="str">
        <f>IFERROR(DATEDIF(HR_Data[[#This Row],[Date of Hire]],HR_Data[[#This Row],[Date of Termination]],"Y"),"")</f>
        <v/>
      </c>
      <c r="O101" t="s">
        <v>6</v>
      </c>
      <c r="P101" t="s">
        <v>5</v>
      </c>
      <c r="Q101" t="s">
        <v>15</v>
      </c>
      <c r="R101" t="s">
        <v>131</v>
      </c>
      <c r="S101" t="s">
        <v>2</v>
      </c>
      <c r="T101" t="s">
        <v>1</v>
      </c>
      <c r="U101" s="5">
        <v>4.7</v>
      </c>
      <c r="V101" s="4">
        <v>4</v>
      </c>
      <c r="W101" s="4">
        <v>5</v>
      </c>
      <c r="X101" s="2">
        <v>43467</v>
      </c>
      <c r="Y101" s="4">
        <v>0</v>
      </c>
      <c r="Z101" s="4">
        <v>1</v>
      </c>
    </row>
    <row r="102" spans="1:26" x14ac:dyDescent="0.4">
      <c r="A102" t="s">
        <v>329</v>
      </c>
      <c r="B102" s="4">
        <v>10111</v>
      </c>
      <c r="C102" s="1">
        <v>52249</v>
      </c>
      <c r="D102" t="s">
        <v>11</v>
      </c>
      <c r="E102" t="s">
        <v>10</v>
      </c>
      <c r="F102" s="4">
        <v>1905</v>
      </c>
      <c r="G102" s="2">
        <v>31305</v>
      </c>
      <c r="H102" t="s">
        <v>31</v>
      </c>
      <c r="I102" t="s">
        <v>17</v>
      </c>
      <c r="J102" t="s">
        <v>16</v>
      </c>
      <c r="K102" s="2">
        <v>40829</v>
      </c>
      <c r="L102" s="3">
        <f>DATEDIF(HR_Data[[#This Row],[DOB]],HR_Data[[#This Row],[Date of Hire]],"Y")</f>
        <v>26</v>
      </c>
      <c r="N102" s="4" t="str">
        <f>IFERROR(DATEDIF(HR_Data[[#This Row],[Date of Hire]],HR_Data[[#This Row],[Date of Termination]],"Y"),"")</f>
        <v/>
      </c>
      <c r="O102" t="s">
        <v>6</v>
      </c>
      <c r="P102" t="s">
        <v>5</v>
      </c>
      <c r="Q102" t="s">
        <v>4</v>
      </c>
      <c r="R102" t="s">
        <v>3</v>
      </c>
      <c r="S102" t="s">
        <v>13</v>
      </c>
      <c r="T102" t="s">
        <v>1</v>
      </c>
      <c r="U102" s="5">
        <v>4.5</v>
      </c>
      <c r="V102" s="4">
        <v>3</v>
      </c>
      <c r="W102" s="4">
        <v>0</v>
      </c>
      <c r="X102" s="2">
        <v>43514</v>
      </c>
      <c r="Y102" s="4">
        <v>0</v>
      </c>
      <c r="Z102" s="4">
        <v>5</v>
      </c>
    </row>
    <row r="103" spans="1:26" x14ac:dyDescent="0.4">
      <c r="A103" t="s">
        <v>328</v>
      </c>
      <c r="B103" s="4">
        <v>10257</v>
      </c>
      <c r="C103" s="1">
        <v>53171</v>
      </c>
      <c r="D103" t="s">
        <v>11</v>
      </c>
      <c r="E103" t="s">
        <v>10</v>
      </c>
      <c r="F103" s="4">
        <v>2121</v>
      </c>
      <c r="G103" s="2">
        <v>30652</v>
      </c>
      <c r="H103" t="s">
        <v>9</v>
      </c>
      <c r="I103" t="s">
        <v>17</v>
      </c>
      <c r="J103" t="s">
        <v>40</v>
      </c>
      <c r="K103" s="2">
        <v>40830</v>
      </c>
      <c r="L103" s="3">
        <f>DATEDIF(HR_Data[[#This Row],[DOB]],HR_Data[[#This Row],[Date of Hire]],"Y")</f>
        <v>27</v>
      </c>
      <c r="N103" s="4" t="str">
        <f>IFERROR(DATEDIF(HR_Data[[#This Row],[Date of Hire]],HR_Data[[#This Row],[Date of Termination]],"Y"),"")</f>
        <v/>
      </c>
      <c r="O103" t="s">
        <v>6</v>
      </c>
      <c r="P103" t="s">
        <v>5</v>
      </c>
      <c r="Q103" t="s">
        <v>4</v>
      </c>
      <c r="R103" t="s">
        <v>69</v>
      </c>
      <c r="S103" t="s">
        <v>2</v>
      </c>
      <c r="T103" t="s">
        <v>1</v>
      </c>
      <c r="U103" s="5">
        <v>4.2</v>
      </c>
      <c r="V103" s="4">
        <v>4</v>
      </c>
      <c r="W103" s="4">
        <v>0</v>
      </c>
      <c r="X103" s="2">
        <v>43522</v>
      </c>
      <c r="Y103" s="4">
        <v>0</v>
      </c>
      <c r="Z103" s="4">
        <v>12</v>
      </c>
    </row>
    <row r="104" spans="1:26" x14ac:dyDescent="0.4">
      <c r="A104" t="s">
        <v>327</v>
      </c>
      <c r="B104" s="4">
        <v>10159</v>
      </c>
      <c r="C104" s="1">
        <v>51337</v>
      </c>
      <c r="D104" t="s">
        <v>11</v>
      </c>
      <c r="E104" t="s">
        <v>10</v>
      </c>
      <c r="F104" s="4">
        <v>2145</v>
      </c>
      <c r="G104" s="2">
        <v>33147</v>
      </c>
      <c r="H104" t="s">
        <v>9</v>
      </c>
      <c r="I104" t="s">
        <v>47</v>
      </c>
      <c r="J104" t="s">
        <v>40</v>
      </c>
      <c r="K104" s="2">
        <v>40831</v>
      </c>
      <c r="L104" s="3">
        <f>DATEDIF(HR_Data[[#This Row],[DOB]],HR_Data[[#This Row],[Date of Hire]],"Y")</f>
        <v>21</v>
      </c>
      <c r="N104" s="4" t="str">
        <f>IFERROR(DATEDIF(HR_Data[[#This Row],[Date of Hire]],HR_Data[[#This Row],[Date of Termination]],"Y"),"")</f>
        <v/>
      </c>
      <c r="O104" t="s">
        <v>6</v>
      </c>
      <c r="P104" t="s">
        <v>5</v>
      </c>
      <c r="Q104" t="s">
        <v>4</v>
      </c>
      <c r="R104" t="s">
        <v>67</v>
      </c>
      <c r="S104" t="s">
        <v>2</v>
      </c>
      <c r="T104" t="s">
        <v>1</v>
      </c>
      <c r="U104" s="5">
        <v>3.73</v>
      </c>
      <c r="V104" s="4">
        <v>3</v>
      </c>
      <c r="W104" s="4">
        <v>0</v>
      </c>
      <c r="X104" s="2">
        <v>43481</v>
      </c>
      <c r="Y104" s="4">
        <v>0</v>
      </c>
      <c r="Z104" s="4">
        <v>19</v>
      </c>
    </row>
    <row r="105" spans="1:26" x14ac:dyDescent="0.4">
      <c r="A105" t="s">
        <v>326</v>
      </c>
      <c r="B105" s="4">
        <v>10122</v>
      </c>
      <c r="C105" s="1">
        <v>51505</v>
      </c>
      <c r="D105" t="s">
        <v>11</v>
      </c>
      <c r="E105" t="s">
        <v>10</v>
      </c>
      <c r="F105" s="4">
        <v>2330</v>
      </c>
      <c r="G105" s="2">
        <v>25703</v>
      </c>
      <c r="H105" t="s">
        <v>9</v>
      </c>
      <c r="I105" t="s">
        <v>42</v>
      </c>
      <c r="J105" t="s">
        <v>40</v>
      </c>
      <c r="K105" s="2">
        <v>40832</v>
      </c>
      <c r="L105" s="3">
        <f>DATEDIF(HR_Data[[#This Row],[DOB]],HR_Data[[#This Row],[Date of Hire]],"Y")</f>
        <v>41</v>
      </c>
      <c r="M105" s="2">
        <v>42689</v>
      </c>
      <c r="N105" s="4">
        <f>IFERROR(DATEDIF(HR_Data[[#This Row],[Date of Hire]],HR_Data[[#This Row],[Date of Termination]],"Y"),"")</f>
        <v>5</v>
      </c>
      <c r="O105" t="s">
        <v>50</v>
      </c>
      <c r="P105" t="s">
        <v>27</v>
      </c>
      <c r="Q105" t="s">
        <v>4</v>
      </c>
      <c r="R105" t="s">
        <v>61</v>
      </c>
      <c r="S105" t="s">
        <v>37</v>
      </c>
      <c r="T105" t="s">
        <v>1</v>
      </c>
      <c r="U105" s="5">
        <v>4.24</v>
      </c>
      <c r="V105" s="4">
        <v>4</v>
      </c>
      <c r="W105" s="4">
        <v>0</v>
      </c>
      <c r="X105" s="2">
        <v>42489</v>
      </c>
      <c r="Y105" s="4">
        <v>0</v>
      </c>
      <c r="Z105" s="4">
        <v>2</v>
      </c>
    </row>
    <row r="106" spans="1:26" x14ac:dyDescent="0.4">
      <c r="A106" t="s">
        <v>325</v>
      </c>
      <c r="B106" s="4">
        <v>10142</v>
      </c>
      <c r="C106" s="1">
        <v>59370</v>
      </c>
      <c r="D106" t="s">
        <v>79</v>
      </c>
      <c r="E106" t="s">
        <v>324</v>
      </c>
      <c r="F106" s="4">
        <v>43050</v>
      </c>
      <c r="G106" s="2">
        <v>26124</v>
      </c>
      <c r="H106" t="s">
        <v>9</v>
      </c>
      <c r="I106" t="s">
        <v>8</v>
      </c>
      <c r="J106" t="s">
        <v>40</v>
      </c>
      <c r="K106" s="2">
        <v>40833</v>
      </c>
      <c r="L106" s="3">
        <f>DATEDIF(HR_Data[[#This Row],[DOB]],HR_Data[[#This Row],[Date of Hire]],"Y")</f>
        <v>40</v>
      </c>
      <c r="M106" s="2">
        <v>42252</v>
      </c>
      <c r="N106" s="4">
        <f>IFERROR(DATEDIF(HR_Data[[#This Row],[Date of Hire]],HR_Data[[#This Row],[Date of Termination]],"Y"),"")</f>
        <v>3</v>
      </c>
      <c r="O106" t="s">
        <v>166</v>
      </c>
      <c r="P106" t="s">
        <v>70</v>
      </c>
      <c r="Q106" t="s">
        <v>77</v>
      </c>
      <c r="R106" t="s">
        <v>76</v>
      </c>
      <c r="S106" t="s">
        <v>60</v>
      </c>
      <c r="T106" t="s">
        <v>1</v>
      </c>
      <c r="U106" s="5">
        <v>3.97</v>
      </c>
      <c r="V106" s="4">
        <v>4</v>
      </c>
      <c r="W106" s="4">
        <v>0</v>
      </c>
      <c r="X106" s="2">
        <v>41654</v>
      </c>
      <c r="Y106" s="4">
        <v>0</v>
      </c>
      <c r="Z106" s="4">
        <v>7</v>
      </c>
    </row>
    <row r="107" spans="1:26" x14ac:dyDescent="0.4">
      <c r="A107" t="s">
        <v>323</v>
      </c>
      <c r="B107" s="4">
        <v>10283</v>
      </c>
      <c r="C107" s="1">
        <v>54933</v>
      </c>
      <c r="D107" t="s">
        <v>11</v>
      </c>
      <c r="E107" t="s">
        <v>10</v>
      </c>
      <c r="F107" s="4">
        <v>2062</v>
      </c>
      <c r="G107" s="2">
        <v>27250</v>
      </c>
      <c r="H107" t="s">
        <v>31</v>
      </c>
      <c r="I107" t="s">
        <v>47</v>
      </c>
      <c r="J107" t="s">
        <v>40</v>
      </c>
      <c r="K107" s="2">
        <v>40834</v>
      </c>
      <c r="L107" s="3">
        <f>DATEDIF(HR_Data[[#This Row],[DOB]],HR_Data[[#This Row],[Date of Hire]],"Y")</f>
        <v>37</v>
      </c>
      <c r="M107" s="2">
        <v>42180</v>
      </c>
      <c r="N107" s="4">
        <f>IFERROR(DATEDIF(HR_Data[[#This Row],[Date of Hire]],HR_Data[[#This Row],[Date of Termination]],"Y"),"")</f>
        <v>3</v>
      </c>
      <c r="O107" t="s">
        <v>103</v>
      </c>
      <c r="P107" t="s">
        <v>27</v>
      </c>
      <c r="Q107" t="s">
        <v>4</v>
      </c>
      <c r="R107" t="s">
        <v>49</v>
      </c>
      <c r="S107" t="s">
        <v>37</v>
      </c>
      <c r="T107" t="s">
        <v>59</v>
      </c>
      <c r="U107" s="5">
        <v>3.97</v>
      </c>
      <c r="V107" s="4">
        <v>4</v>
      </c>
      <c r="W107" s="4">
        <v>0</v>
      </c>
      <c r="X107" s="2">
        <v>42024</v>
      </c>
      <c r="Y107" s="4">
        <v>3</v>
      </c>
      <c r="Z107" s="4">
        <v>15</v>
      </c>
    </row>
    <row r="108" spans="1:26" x14ac:dyDescent="0.4">
      <c r="A108" t="s">
        <v>322</v>
      </c>
      <c r="B108" s="4">
        <v>10018</v>
      </c>
      <c r="C108" s="1">
        <v>57815</v>
      </c>
      <c r="D108" t="s">
        <v>11</v>
      </c>
      <c r="E108" t="s">
        <v>10</v>
      </c>
      <c r="F108" s="4">
        <v>2451</v>
      </c>
      <c r="G108" s="2">
        <v>29349</v>
      </c>
      <c r="H108" t="s">
        <v>9</v>
      </c>
      <c r="I108" t="s">
        <v>17</v>
      </c>
      <c r="J108" t="s">
        <v>84</v>
      </c>
      <c r="K108" s="2">
        <v>40835</v>
      </c>
      <c r="L108" s="3">
        <f>DATEDIF(HR_Data[[#This Row],[DOB]],HR_Data[[#This Row],[Date of Hire]],"Y")</f>
        <v>31</v>
      </c>
      <c r="N108" s="4" t="str">
        <f>IFERROR(DATEDIF(HR_Data[[#This Row],[Date of Hire]],HR_Data[[#This Row],[Date of Termination]],"Y"),"")</f>
        <v/>
      </c>
      <c r="O108" t="s">
        <v>6</v>
      </c>
      <c r="P108" t="s">
        <v>5</v>
      </c>
      <c r="Q108" t="s">
        <v>4</v>
      </c>
      <c r="R108" t="s">
        <v>45</v>
      </c>
      <c r="S108" t="s">
        <v>55</v>
      </c>
      <c r="T108" t="s">
        <v>20</v>
      </c>
      <c r="U108" s="5">
        <v>3.9</v>
      </c>
      <c r="V108" s="4">
        <v>4</v>
      </c>
      <c r="W108" s="4">
        <v>0</v>
      </c>
      <c r="X108" s="2">
        <v>43648</v>
      </c>
      <c r="Y108" s="4">
        <v>0</v>
      </c>
      <c r="Z108" s="4">
        <v>3</v>
      </c>
    </row>
    <row r="109" spans="1:26" x14ac:dyDescent="0.4">
      <c r="A109" t="s">
        <v>321</v>
      </c>
      <c r="B109" s="4">
        <v>10255</v>
      </c>
      <c r="C109" s="1">
        <v>61555</v>
      </c>
      <c r="D109" t="s">
        <v>79</v>
      </c>
      <c r="E109" t="s">
        <v>320</v>
      </c>
      <c r="F109" s="4">
        <v>46204</v>
      </c>
      <c r="G109" s="2">
        <v>32773</v>
      </c>
      <c r="H109" t="s">
        <v>9</v>
      </c>
      <c r="I109" t="s">
        <v>17</v>
      </c>
      <c r="J109" t="s">
        <v>16</v>
      </c>
      <c r="K109" s="2">
        <v>40836</v>
      </c>
      <c r="L109" s="3">
        <f>DATEDIF(HR_Data[[#This Row],[DOB]],HR_Data[[#This Row],[Date of Hire]],"Y")</f>
        <v>22</v>
      </c>
      <c r="N109" s="4" t="str">
        <f>IFERROR(DATEDIF(HR_Data[[#This Row],[Date of Hire]],HR_Data[[#This Row],[Date of Termination]],"Y"),"")</f>
        <v/>
      </c>
      <c r="O109" t="s">
        <v>6</v>
      </c>
      <c r="P109" t="s">
        <v>5</v>
      </c>
      <c r="Q109" t="s">
        <v>77</v>
      </c>
      <c r="R109" t="s">
        <v>97</v>
      </c>
      <c r="S109" t="s">
        <v>55</v>
      </c>
      <c r="T109" t="s">
        <v>1</v>
      </c>
      <c r="U109" s="5">
        <v>4.5</v>
      </c>
      <c r="V109" s="4">
        <v>5</v>
      </c>
      <c r="W109" s="4">
        <v>0</v>
      </c>
      <c r="X109" s="2">
        <v>43490</v>
      </c>
      <c r="Y109" s="4">
        <v>0</v>
      </c>
      <c r="Z109" s="4">
        <v>20</v>
      </c>
    </row>
    <row r="110" spans="1:26" x14ac:dyDescent="0.4">
      <c r="A110" t="s">
        <v>319</v>
      </c>
      <c r="B110" s="4">
        <v>10246</v>
      </c>
      <c r="C110" s="1">
        <v>114800</v>
      </c>
      <c r="D110" t="s">
        <v>74</v>
      </c>
      <c r="E110" t="s">
        <v>10</v>
      </c>
      <c r="F110" s="4">
        <v>2127</v>
      </c>
      <c r="G110" s="2">
        <v>26229</v>
      </c>
      <c r="H110" t="s">
        <v>9</v>
      </c>
      <c r="I110" t="s">
        <v>17</v>
      </c>
      <c r="J110" t="s">
        <v>16</v>
      </c>
      <c r="K110" s="2">
        <v>40837</v>
      </c>
      <c r="L110" s="3">
        <f>DATEDIF(HR_Data[[#This Row],[DOB]],HR_Data[[#This Row],[Date of Hire]],"Y")</f>
        <v>39</v>
      </c>
      <c r="M110" s="2">
        <v>42078</v>
      </c>
      <c r="N110" s="4">
        <f>IFERROR(DATEDIF(HR_Data[[#This Row],[Date of Hire]],HR_Data[[#This Row],[Date of Termination]],"Y"),"")</f>
        <v>3</v>
      </c>
      <c r="O110" t="s">
        <v>73</v>
      </c>
      <c r="P110" t="s">
        <v>70</v>
      </c>
      <c r="Q110" t="s">
        <v>15</v>
      </c>
      <c r="R110" t="s">
        <v>14</v>
      </c>
      <c r="S110" t="s">
        <v>55</v>
      </c>
      <c r="T110" t="s">
        <v>1</v>
      </c>
      <c r="U110" s="5">
        <v>4.5999999999999996</v>
      </c>
      <c r="V110" s="4">
        <v>4</v>
      </c>
      <c r="W110" s="4">
        <v>4</v>
      </c>
      <c r="X110" s="2">
        <v>42024</v>
      </c>
      <c r="Y110" s="4">
        <v>0</v>
      </c>
      <c r="Z110" s="4">
        <v>10</v>
      </c>
    </row>
    <row r="111" spans="1:26" x14ac:dyDescent="0.4">
      <c r="A111" t="s">
        <v>318</v>
      </c>
      <c r="B111" s="4">
        <v>10228</v>
      </c>
      <c r="C111" s="1">
        <v>74679</v>
      </c>
      <c r="D111" t="s">
        <v>132</v>
      </c>
      <c r="E111" t="s">
        <v>10</v>
      </c>
      <c r="F111" s="4">
        <v>2135</v>
      </c>
      <c r="G111" s="2">
        <v>32836</v>
      </c>
      <c r="H111" t="s">
        <v>31</v>
      </c>
      <c r="I111" t="s">
        <v>47</v>
      </c>
      <c r="J111" t="s">
        <v>16</v>
      </c>
      <c r="K111" s="2">
        <v>40838</v>
      </c>
      <c r="L111" s="3">
        <f>DATEDIF(HR_Data[[#This Row],[DOB]],HR_Data[[#This Row],[Date of Hire]],"Y")</f>
        <v>21</v>
      </c>
      <c r="N111" s="4" t="str">
        <f>IFERROR(DATEDIF(HR_Data[[#This Row],[Date of Hire]],HR_Data[[#This Row],[Date of Termination]],"Y"),"")</f>
        <v/>
      </c>
      <c r="O111" t="s">
        <v>6</v>
      </c>
      <c r="P111" t="s">
        <v>5</v>
      </c>
      <c r="Q111" t="s">
        <v>15</v>
      </c>
      <c r="R111" t="s">
        <v>52</v>
      </c>
      <c r="S111" t="s">
        <v>2</v>
      </c>
      <c r="T111" t="s">
        <v>1</v>
      </c>
      <c r="U111" s="5">
        <v>4.3</v>
      </c>
      <c r="V111" s="4">
        <v>5</v>
      </c>
      <c r="W111" s="4">
        <v>7</v>
      </c>
      <c r="X111" s="2">
        <v>43739</v>
      </c>
      <c r="Y111" s="4">
        <v>0</v>
      </c>
      <c r="Z111" s="4">
        <v>20</v>
      </c>
    </row>
    <row r="112" spans="1:26" x14ac:dyDescent="0.4">
      <c r="A112" t="s">
        <v>317</v>
      </c>
      <c r="B112" s="4">
        <v>10243</v>
      </c>
      <c r="C112" s="1">
        <v>53018</v>
      </c>
      <c r="D112" t="s">
        <v>11</v>
      </c>
      <c r="E112" t="s">
        <v>10</v>
      </c>
      <c r="F112" s="4">
        <v>2451</v>
      </c>
      <c r="G112" s="2">
        <v>33773</v>
      </c>
      <c r="H112" t="s">
        <v>9</v>
      </c>
      <c r="I112" t="s">
        <v>17</v>
      </c>
      <c r="J112" t="s">
        <v>16</v>
      </c>
      <c r="K112" s="2">
        <v>40839</v>
      </c>
      <c r="L112" s="3">
        <f>DATEDIF(HR_Data[[#This Row],[DOB]],HR_Data[[#This Row],[Date of Hire]],"Y")</f>
        <v>19</v>
      </c>
      <c r="N112" s="4" t="str">
        <f>IFERROR(DATEDIF(HR_Data[[#This Row],[Date of Hire]],HR_Data[[#This Row],[Date of Termination]],"Y"),"")</f>
        <v/>
      </c>
      <c r="O112" t="s">
        <v>6</v>
      </c>
      <c r="P112" t="s">
        <v>5</v>
      </c>
      <c r="Q112" t="s">
        <v>4</v>
      </c>
      <c r="R112" t="s">
        <v>38</v>
      </c>
      <c r="S112" t="s">
        <v>55</v>
      </c>
      <c r="T112" t="s">
        <v>1</v>
      </c>
      <c r="U112" s="5">
        <v>4.3</v>
      </c>
      <c r="V112" s="4">
        <v>5</v>
      </c>
      <c r="W112" s="4">
        <v>0</v>
      </c>
      <c r="X112" s="2">
        <v>43514</v>
      </c>
      <c r="Y112" s="4">
        <v>0</v>
      </c>
      <c r="Z112" s="4">
        <v>7</v>
      </c>
    </row>
    <row r="113" spans="1:26" x14ac:dyDescent="0.4">
      <c r="A113" t="s">
        <v>316</v>
      </c>
      <c r="B113" s="4">
        <v>10031</v>
      </c>
      <c r="C113" s="1">
        <v>59892</v>
      </c>
      <c r="D113" t="s">
        <v>11</v>
      </c>
      <c r="E113" t="s">
        <v>10</v>
      </c>
      <c r="F113" s="4">
        <v>2108</v>
      </c>
      <c r="G113" s="2">
        <v>25475</v>
      </c>
      <c r="H113" t="s">
        <v>31</v>
      </c>
      <c r="I113" t="s">
        <v>42</v>
      </c>
      <c r="J113" t="s">
        <v>40</v>
      </c>
      <c r="K113" s="2">
        <v>40840</v>
      </c>
      <c r="L113" s="3">
        <f>DATEDIF(HR_Data[[#This Row],[DOB]],HR_Data[[#This Row],[Date of Hire]],"Y")</f>
        <v>42</v>
      </c>
      <c r="N113" s="4" t="str">
        <f>IFERROR(DATEDIF(HR_Data[[#This Row],[Date of Hire]],HR_Data[[#This Row],[Date of Termination]],"Y"),"")</f>
        <v/>
      </c>
      <c r="O113" t="s">
        <v>6</v>
      </c>
      <c r="P113" t="s">
        <v>5</v>
      </c>
      <c r="Q113" t="s">
        <v>4</v>
      </c>
      <c r="R113" t="s">
        <v>26</v>
      </c>
      <c r="S113" t="s">
        <v>37</v>
      </c>
      <c r="T113" t="s">
        <v>20</v>
      </c>
      <c r="U113" s="5">
        <v>4.5</v>
      </c>
      <c r="V113" s="4">
        <v>4</v>
      </c>
      <c r="W113" s="4">
        <v>0</v>
      </c>
      <c r="X113" s="2">
        <v>43514</v>
      </c>
      <c r="Y113" s="4">
        <v>0</v>
      </c>
      <c r="Z113" s="4">
        <v>1</v>
      </c>
    </row>
    <row r="114" spans="1:26" x14ac:dyDescent="0.4">
      <c r="A114" t="s">
        <v>315</v>
      </c>
      <c r="B114" s="4">
        <v>10300</v>
      </c>
      <c r="C114" s="1">
        <v>68898</v>
      </c>
      <c r="D114" t="s">
        <v>32</v>
      </c>
      <c r="E114" t="s">
        <v>10</v>
      </c>
      <c r="F114" s="4">
        <v>2128</v>
      </c>
      <c r="G114" s="2">
        <v>23662</v>
      </c>
      <c r="H114" t="s">
        <v>31</v>
      </c>
      <c r="I114" t="s">
        <v>47</v>
      </c>
      <c r="J114" t="s">
        <v>40</v>
      </c>
      <c r="K114" s="2">
        <v>40841</v>
      </c>
      <c r="L114" s="3">
        <f>DATEDIF(HR_Data[[#This Row],[DOB]],HR_Data[[#This Row],[Date of Hire]],"Y")</f>
        <v>47</v>
      </c>
      <c r="M114" s="2">
        <v>40693</v>
      </c>
      <c r="N114" s="4" t="str">
        <f>IFERROR(DATEDIF(HR_Data[[#This Row],[Date of Hire]],HR_Data[[#This Row],[Date of Termination]],"Y"),"")</f>
        <v/>
      </c>
      <c r="O114" t="s">
        <v>62</v>
      </c>
      <c r="P114" t="s">
        <v>27</v>
      </c>
      <c r="Q114" t="s">
        <v>4</v>
      </c>
      <c r="R114" t="s">
        <v>26</v>
      </c>
      <c r="S114" t="s">
        <v>37</v>
      </c>
      <c r="T114" t="s">
        <v>24</v>
      </c>
      <c r="U114" s="5">
        <v>3</v>
      </c>
      <c r="V114" s="4">
        <v>3</v>
      </c>
      <c r="W114" s="4">
        <v>0</v>
      </c>
      <c r="X114" s="2">
        <v>40697</v>
      </c>
      <c r="Y114" s="4">
        <v>3</v>
      </c>
      <c r="Z114" s="4">
        <v>10</v>
      </c>
    </row>
    <row r="115" spans="1:26" x14ac:dyDescent="0.4">
      <c r="A115" t="s">
        <v>314</v>
      </c>
      <c r="B115" s="4">
        <v>10101</v>
      </c>
      <c r="C115" s="1">
        <v>61242</v>
      </c>
      <c r="D115" t="s">
        <v>132</v>
      </c>
      <c r="E115" t="s">
        <v>10</v>
      </c>
      <c r="F115" s="4">
        <v>2472</v>
      </c>
      <c r="G115" s="2">
        <v>29692</v>
      </c>
      <c r="H115" t="s">
        <v>9</v>
      </c>
      <c r="I115" t="s">
        <v>98</v>
      </c>
      <c r="J115" t="s">
        <v>16</v>
      </c>
      <c r="K115" s="2">
        <v>40842</v>
      </c>
      <c r="L115" s="3">
        <f>DATEDIF(HR_Data[[#This Row],[DOB]],HR_Data[[#This Row],[Date of Hire]],"Y")</f>
        <v>30</v>
      </c>
      <c r="N115" s="4" t="str">
        <f>IFERROR(DATEDIF(HR_Data[[#This Row],[Date of Hire]],HR_Data[[#This Row],[Date of Termination]],"Y"),"")</f>
        <v/>
      </c>
      <c r="O115" t="s">
        <v>6</v>
      </c>
      <c r="P115" t="s">
        <v>5</v>
      </c>
      <c r="Q115" t="s">
        <v>15</v>
      </c>
      <c r="R115" t="s">
        <v>52</v>
      </c>
      <c r="S115" t="s">
        <v>13</v>
      </c>
      <c r="T115" t="s">
        <v>1</v>
      </c>
      <c r="U115" s="5">
        <v>4.6100000000000003</v>
      </c>
      <c r="V115" s="4">
        <v>4</v>
      </c>
      <c r="W115" s="4">
        <v>5</v>
      </c>
      <c r="X115" s="2">
        <v>43493</v>
      </c>
      <c r="Y115" s="4">
        <v>0</v>
      </c>
      <c r="Z115" s="4">
        <v>11</v>
      </c>
    </row>
    <row r="116" spans="1:26" x14ac:dyDescent="0.4">
      <c r="A116" t="s">
        <v>313</v>
      </c>
      <c r="B116" s="4">
        <v>10237</v>
      </c>
      <c r="C116" s="1">
        <v>66825</v>
      </c>
      <c r="D116" t="s">
        <v>32</v>
      </c>
      <c r="E116" t="s">
        <v>10</v>
      </c>
      <c r="F116" s="4">
        <v>1886</v>
      </c>
      <c r="G116" s="2">
        <v>31557</v>
      </c>
      <c r="H116" t="s">
        <v>9</v>
      </c>
      <c r="I116" t="s">
        <v>47</v>
      </c>
      <c r="J116" t="s">
        <v>16</v>
      </c>
      <c r="K116" s="2">
        <v>40843</v>
      </c>
      <c r="L116" s="3">
        <f>DATEDIF(HR_Data[[#This Row],[DOB]],HR_Data[[#This Row],[Date of Hire]],"Y")</f>
        <v>25</v>
      </c>
      <c r="N116" s="4" t="str">
        <f>IFERROR(DATEDIF(HR_Data[[#This Row],[Date of Hire]],HR_Data[[#This Row],[Date of Termination]],"Y"),"")</f>
        <v/>
      </c>
      <c r="O116" t="s">
        <v>6</v>
      </c>
      <c r="P116" t="s">
        <v>5</v>
      </c>
      <c r="Q116" t="s">
        <v>4</v>
      </c>
      <c r="R116" t="s">
        <v>3</v>
      </c>
      <c r="S116" t="s">
        <v>2</v>
      </c>
      <c r="T116" t="s">
        <v>1</v>
      </c>
      <c r="U116" s="5">
        <v>4.5999999999999996</v>
      </c>
      <c r="V116" s="4">
        <v>3</v>
      </c>
      <c r="W116" s="4">
        <v>0</v>
      </c>
      <c r="X116" s="2">
        <v>43648</v>
      </c>
      <c r="Y116" s="4">
        <v>0</v>
      </c>
      <c r="Z116" s="4">
        <v>20</v>
      </c>
    </row>
    <row r="117" spans="1:26" x14ac:dyDescent="0.4">
      <c r="A117" t="s">
        <v>312</v>
      </c>
      <c r="B117" s="4">
        <v>10051</v>
      </c>
      <c r="C117" s="1">
        <v>48285</v>
      </c>
      <c r="D117" t="s">
        <v>11</v>
      </c>
      <c r="E117" t="s">
        <v>10</v>
      </c>
      <c r="F117" s="4">
        <v>2169</v>
      </c>
      <c r="G117" s="2">
        <v>28996</v>
      </c>
      <c r="H117" t="s">
        <v>31</v>
      </c>
      <c r="I117" t="s">
        <v>47</v>
      </c>
      <c r="J117" t="s">
        <v>16</v>
      </c>
      <c r="K117" s="2">
        <v>40844</v>
      </c>
      <c r="L117" s="3">
        <f>DATEDIF(HR_Data[[#This Row],[DOB]],HR_Data[[#This Row],[Date of Hire]],"Y")</f>
        <v>32</v>
      </c>
      <c r="N117" s="4" t="str">
        <f>IFERROR(DATEDIF(HR_Data[[#This Row],[Date of Hire]],HR_Data[[#This Row],[Date of Termination]],"Y"),"")</f>
        <v/>
      </c>
      <c r="O117" t="s">
        <v>6</v>
      </c>
      <c r="P117" t="s">
        <v>5</v>
      </c>
      <c r="Q117" t="s">
        <v>4</v>
      </c>
      <c r="R117" t="s">
        <v>3</v>
      </c>
      <c r="S117" t="s">
        <v>2</v>
      </c>
      <c r="T117" t="s">
        <v>1</v>
      </c>
      <c r="U117" s="5">
        <v>5</v>
      </c>
      <c r="V117" s="4">
        <v>3</v>
      </c>
      <c r="W117" s="4">
        <v>0</v>
      </c>
      <c r="X117" s="2">
        <v>43479</v>
      </c>
      <c r="Y117" s="4">
        <v>0</v>
      </c>
      <c r="Z117" s="4">
        <v>2</v>
      </c>
    </row>
    <row r="118" spans="1:26" x14ac:dyDescent="0.4">
      <c r="A118" t="s">
        <v>311</v>
      </c>
      <c r="B118" s="4">
        <v>10218</v>
      </c>
      <c r="C118" s="1">
        <v>66149</v>
      </c>
      <c r="D118" t="s">
        <v>32</v>
      </c>
      <c r="E118" t="s">
        <v>10</v>
      </c>
      <c r="F118" s="4">
        <v>1824</v>
      </c>
      <c r="G118" s="2">
        <v>30658</v>
      </c>
      <c r="H118" t="s">
        <v>9</v>
      </c>
      <c r="I118" t="s">
        <v>98</v>
      </c>
      <c r="J118" t="s">
        <v>281</v>
      </c>
      <c r="K118" s="2">
        <v>40845</v>
      </c>
      <c r="L118" s="3">
        <f>DATEDIF(HR_Data[[#This Row],[DOB]],HR_Data[[#This Row],[Date of Hire]],"Y")</f>
        <v>27</v>
      </c>
      <c r="N118" s="4" t="str">
        <f>IFERROR(DATEDIF(HR_Data[[#This Row],[Date of Hire]],HR_Data[[#This Row],[Date of Termination]],"Y"),"")</f>
        <v/>
      </c>
      <c r="O118" t="s">
        <v>6</v>
      </c>
      <c r="P118" t="s">
        <v>5</v>
      </c>
      <c r="Q118" t="s">
        <v>4</v>
      </c>
      <c r="R118" t="s">
        <v>30</v>
      </c>
      <c r="S118" t="s">
        <v>25</v>
      </c>
      <c r="T118" t="s">
        <v>1</v>
      </c>
      <c r="U118" s="5">
        <v>4.4000000000000004</v>
      </c>
      <c r="V118" s="4">
        <v>5</v>
      </c>
      <c r="W118" s="4">
        <v>0</v>
      </c>
      <c r="X118" s="2">
        <v>43517</v>
      </c>
      <c r="Y118" s="4">
        <v>0</v>
      </c>
      <c r="Z118" s="4">
        <v>1</v>
      </c>
    </row>
    <row r="119" spans="1:26" x14ac:dyDescent="0.4">
      <c r="A119" t="s">
        <v>310</v>
      </c>
      <c r="B119" s="4">
        <v>10256</v>
      </c>
      <c r="C119" s="1">
        <v>49256</v>
      </c>
      <c r="D119" t="s">
        <v>11</v>
      </c>
      <c r="E119" t="s">
        <v>10</v>
      </c>
      <c r="F119" s="4">
        <v>1864</v>
      </c>
      <c r="G119" s="2">
        <v>27311</v>
      </c>
      <c r="H119" t="s">
        <v>9</v>
      </c>
      <c r="I119" t="s">
        <v>47</v>
      </c>
      <c r="J119" t="s">
        <v>7</v>
      </c>
      <c r="K119" s="2">
        <v>40846</v>
      </c>
      <c r="L119" s="3">
        <f>DATEDIF(HR_Data[[#This Row],[DOB]],HR_Data[[#This Row],[Date of Hire]],"Y")</f>
        <v>37</v>
      </c>
      <c r="N119" s="4" t="str">
        <f>IFERROR(DATEDIF(HR_Data[[#This Row],[Date of Hire]],HR_Data[[#This Row],[Date of Termination]],"Y"),"")</f>
        <v/>
      </c>
      <c r="O119" t="s">
        <v>6</v>
      </c>
      <c r="P119" t="s">
        <v>5</v>
      </c>
      <c r="Q119" t="s">
        <v>4</v>
      </c>
      <c r="R119" t="s">
        <v>30</v>
      </c>
      <c r="S119" t="s">
        <v>2</v>
      </c>
      <c r="T119" t="s">
        <v>1</v>
      </c>
      <c r="U119" s="5">
        <v>4.0999999999999996</v>
      </c>
      <c r="V119" s="4">
        <v>5</v>
      </c>
      <c r="W119" s="4">
        <v>0</v>
      </c>
      <c r="X119" s="2">
        <v>43511</v>
      </c>
      <c r="Y119" s="4">
        <v>0</v>
      </c>
      <c r="Z119" s="4">
        <v>3</v>
      </c>
    </row>
    <row r="120" spans="1:26" x14ac:dyDescent="0.4">
      <c r="A120" t="s">
        <v>309</v>
      </c>
      <c r="B120" s="4">
        <v>10098</v>
      </c>
      <c r="C120" s="1">
        <v>62957</v>
      </c>
      <c r="D120" t="s">
        <v>64</v>
      </c>
      <c r="E120" t="s">
        <v>10</v>
      </c>
      <c r="F120" s="4">
        <v>1752</v>
      </c>
      <c r="G120" s="2">
        <v>29778</v>
      </c>
      <c r="H120" t="s">
        <v>31</v>
      </c>
      <c r="I120" t="s">
        <v>42</v>
      </c>
      <c r="J120" t="s">
        <v>16</v>
      </c>
      <c r="K120" s="2">
        <v>40847</v>
      </c>
      <c r="L120" s="3">
        <f>DATEDIF(HR_Data[[#This Row],[DOB]],HR_Data[[#This Row],[Date of Hire]],"Y")</f>
        <v>30</v>
      </c>
      <c r="N120" s="4" t="str">
        <f>IFERROR(DATEDIF(HR_Data[[#This Row],[Date of Hire]],HR_Data[[#This Row],[Date of Termination]],"Y"),"")</f>
        <v/>
      </c>
      <c r="O120" t="s">
        <v>6</v>
      </c>
      <c r="P120" t="s">
        <v>5</v>
      </c>
      <c r="Q120" t="s">
        <v>4</v>
      </c>
      <c r="R120" t="s">
        <v>21</v>
      </c>
      <c r="S120" t="s">
        <v>13</v>
      </c>
      <c r="T120" t="s">
        <v>1</v>
      </c>
      <c r="U120" s="5">
        <v>4.63</v>
      </c>
      <c r="V120" s="4">
        <v>3</v>
      </c>
      <c r="W120" s="4">
        <v>0</v>
      </c>
      <c r="X120" s="2">
        <v>43556</v>
      </c>
      <c r="Y120" s="4">
        <v>0</v>
      </c>
      <c r="Z120" s="4">
        <v>2</v>
      </c>
    </row>
    <row r="121" spans="1:26" x14ac:dyDescent="0.4">
      <c r="A121" t="s">
        <v>308</v>
      </c>
      <c r="B121" s="4">
        <v>10059</v>
      </c>
      <c r="C121" s="1">
        <v>63813</v>
      </c>
      <c r="D121" t="s">
        <v>11</v>
      </c>
      <c r="E121" t="s">
        <v>10</v>
      </c>
      <c r="F121" s="4">
        <v>2176</v>
      </c>
      <c r="G121" s="2">
        <v>30457</v>
      </c>
      <c r="H121" t="s">
        <v>9</v>
      </c>
      <c r="I121" t="s">
        <v>42</v>
      </c>
      <c r="J121" t="s">
        <v>16</v>
      </c>
      <c r="K121" s="2">
        <v>40848</v>
      </c>
      <c r="L121" s="3">
        <f>DATEDIF(HR_Data[[#This Row],[DOB]],HR_Data[[#This Row],[Date of Hire]],"Y")</f>
        <v>28</v>
      </c>
      <c r="M121" s="2">
        <v>41650</v>
      </c>
      <c r="N121" s="4">
        <f>IFERROR(DATEDIF(HR_Data[[#This Row],[Date of Hire]],HR_Data[[#This Row],[Date of Termination]],"Y"),"")</f>
        <v>2</v>
      </c>
      <c r="O121" t="s">
        <v>175</v>
      </c>
      <c r="P121" t="s">
        <v>27</v>
      </c>
      <c r="Q121" t="s">
        <v>4</v>
      </c>
      <c r="R121" t="s">
        <v>69</v>
      </c>
      <c r="S121" t="s">
        <v>60</v>
      </c>
      <c r="T121" t="s">
        <v>1</v>
      </c>
      <c r="U121" s="5">
        <v>5</v>
      </c>
      <c r="V121" s="4">
        <v>5</v>
      </c>
      <c r="W121" s="4">
        <v>0</v>
      </c>
      <c r="X121" s="2">
        <v>41339</v>
      </c>
      <c r="Y121" s="4">
        <v>0</v>
      </c>
      <c r="Z121" s="4">
        <v>17</v>
      </c>
    </row>
    <row r="122" spans="1:26" x14ac:dyDescent="0.4">
      <c r="A122" t="s">
        <v>307</v>
      </c>
      <c r="B122" s="4">
        <v>10234</v>
      </c>
      <c r="C122" s="1">
        <v>99020</v>
      </c>
      <c r="D122" t="s">
        <v>111</v>
      </c>
      <c r="E122" t="s">
        <v>10</v>
      </c>
      <c r="F122" s="4">
        <v>2134</v>
      </c>
      <c r="G122" s="2">
        <v>32689</v>
      </c>
      <c r="H122" t="s">
        <v>31</v>
      </c>
      <c r="I122" t="s">
        <v>47</v>
      </c>
      <c r="J122" t="s">
        <v>40</v>
      </c>
      <c r="K122" s="2">
        <v>40849</v>
      </c>
      <c r="L122" s="3">
        <f>DATEDIF(HR_Data[[#This Row],[DOB]],HR_Data[[#This Row],[Date of Hire]],"Y")</f>
        <v>22</v>
      </c>
      <c r="N122" s="4" t="str">
        <f>IFERROR(DATEDIF(HR_Data[[#This Row],[Date of Hire]],HR_Data[[#This Row],[Date of Termination]],"Y"),"")</f>
        <v/>
      </c>
      <c r="O122" t="s">
        <v>6</v>
      </c>
      <c r="P122" t="s">
        <v>5</v>
      </c>
      <c r="Q122" t="s">
        <v>15</v>
      </c>
      <c r="R122" t="s">
        <v>56</v>
      </c>
      <c r="S122" t="s">
        <v>55</v>
      </c>
      <c r="T122" t="s">
        <v>1</v>
      </c>
      <c r="U122" s="5">
        <v>4.2</v>
      </c>
      <c r="V122" s="4">
        <v>5</v>
      </c>
      <c r="W122" s="4">
        <v>5</v>
      </c>
      <c r="X122" s="2">
        <v>43493</v>
      </c>
      <c r="Y122" s="4">
        <v>0</v>
      </c>
      <c r="Z122" s="4">
        <v>8</v>
      </c>
    </row>
    <row r="123" spans="1:26" x14ac:dyDescent="0.4">
      <c r="A123" t="s">
        <v>306</v>
      </c>
      <c r="B123" s="4">
        <v>10109</v>
      </c>
      <c r="C123" s="1">
        <v>71707</v>
      </c>
      <c r="D123" t="s">
        <v>79</v>
      </c>
      <c r="E123" t="s">
        <v>305</v>
      </c>
      <c r="F123" s="4">
        <v>37129</v>
      </c>
      <c r="G123" s="2">
        <v>25243</v>
      </c>
      <c r="H123" t="s">
        <v>31</v>
      </c>
      <c r="I123" t="s">
        <v>17</v>
      </c>
      <c r="J123" t="s">
        <v>84</v>
      </c>
      <c r="K123" s="2">
        <v>40850</v>
      </c>
      <c r="L123" s="3">
        <f>DATEDIF(HR_Data[[#This Row],[DOB]],HR_Data[[#This Row],[Date of Hire]],"Y")</f>
        <v>42</v>
      </c>
      <c r="M123" s="2">
        <v>41943</v>
      </c>
      <c r="N123" s="4">
        <f>IFERROR(DATEDIF(HR_Data[[#This Row],[Date of Hire]],HR_Data[[#This Row],[Date of Termination]],"Y"),"")</f>
        <v>2</v>
      </c>
      <c r="O123" t="s">
        <v>39</v>
      </c>
      <c r="P123" t="s">
        <v>27</v>
      </c>
      <c r="Q123" t="s">
        <v>77</v>
      </c>
      <c r="R123" t="s">
        <v>76</v>
      </c>
      <c r="S123" t="s">
        <v>2</v>
      </c>
      <c r="T123" t="s">
        <v>1</v>
      </c>
      <c r="U123" s="5">
        <v>4.5</v>
      </c>
      <c r="V123" s="4">
        <v>5</v>
      </c>
      <c r="W123" s="4">
        <v>0</v>
      </c>
      <c r="X123" s="2">
        <v>41276</v>
      </c>
      <c r="Y123" s="4">
        <v>0</v>
      </c>
      <c r="Z123" s="4">
        <v>20</v>
      </c>
    </row>
    <row r="124" spans="1:26" x14ac:dyDescent="0.4">
      <c r="A124" t="s">
        <v>304</v>
      </c>
      <c r="B124" s="4">
        <v>10125</v>
      </c>
      <c r="C124" s="1">
        <v>54828</v>
      </c>
      <c r="D124" t="s">
        <v>11</v>
      </c>
      <c r="E124" t="s">
        <v>10</v>
      </c>
      <c r="F124" s="4">
        <v>2127</v>
      </c>
      <c r="G124" s="2">
        <v>28207</v>
      </c>
      <c r="H124" t="s">
        <v>9</v>
      </c>
      <c r="I124" t="s">
        <v>47</v>
      </c>
      <c r="J124" t="s">
        <v>16</v>
      </c>
      <c r="K124" s="2">
        <v>40851</v>
      </c>
      <c r="L124" s="3">
        <f>DATEDIF(HR_Data[[#This Row],[DOB]],HR_Data[[#This Row],[Date of Hire]],"Y")</f>
        <v>34</v>
      </c>
      <c r="N124" s="4" t="str">
        <f>IFERROR(DATEDIF(HR_Data[[#This Row],[Date of Hire]],HR_Data[[#This Row],[Date of Termination]],"Y"),"")</f>
        <v/>
      </c>
      <c r="O124" t="s">
        <v>6</v>
      </c>
      <c r="P124" t="s">
        <v>5</v>
      </c>
      <c r="Q124" t="s">
        <v>4</v>
      </c>
      <c r="R124" t="s">
        <v>67</v>
      </c>
      <c r="S124" t="s">
        <v>25</v>
      </c>
      <c r="T124" t="s">
        <v>1</v>
      </c>
      <c r="U124" s="5">
        <v>4.2</v>
      </c>
      <c r="V124" s="4">
        <v>4</v>
      </c>
      <c r="W124" s="4">
        <v>0</v>
      </c>
      <c r="X124" s="2">
        <v>43518</v>
      </c>
      <c r="Y124" s="4">
        <v>0</v>
      </c>
      <c r="Z124" s="4">
        <v>13</v>
      </c>
    </row>
    <row r="125" spans="1:26" x14ac:dyDescent="0.4">
      <c r="A125" t="s">
        <v>303</v>
      </c>
      <c r="B125" s="4">
        <v>10074</v>
      </c>
      <c r="C125" s="1">
        <v>64246</v>
      </c>
      <c r="D125" t="s">
        <v>32</v>
      </c>
      <c r="E125" t="s">
        <v>10</v>
      </c>
      <c r="F125" s="4">
        <v>2155</v>
      </c>
      <c r="G125" s="2">
        <v>32365</v>
      </c>
      <c r="H125" t="s">
        <v>31</v>
      </c>
      <c r="I125" t="s">
        <v>17</v>
      </c>
      <c r="J125" t="s">
        <v>16</v>
      </c>
      <c r="K125" s="2">
        <v>40852</v>
      </c>
      <c r="L125" s="3">
        <f>DATEDIF(HR_Data[[#This Row],[DOB]],HR_Data[[#This Row],[Date of Hire]],"Y")</f>
        <v>23</v>
      </c>
      <c r="N125" s="4" t="str">
        <f>IFERROR(DATEDIF(HR_Data[[#This Row],[Date of Hire]],HR_Data[[#This Row],[Date of Termination]],"Y"),"")</f>
        <v/>
      </c>
      <c r="O125" t="s">
        <v>6</v>
      </c>
      <c r="P125" t="s">
        <v>5</v>
      </c>
      <c r="Q125" t="s">
        <v>4</v>
      </c>
      <c r="R125" t="s">
        <v>69</v>
      </c>
      <c r="S125" t="s">
        <v>2</v>
      </c>
      <c r="T125" t="s">
        <v>1</v>
      </c>
      <c r="U125" s="5">
        <v>5</v>
      </c>
      <c r="V125" s="4">
        <v>3</v>
      </c>
      <c r="W125" s="4">
        <v>0</v>
      </c>
      <c r="X125" s="2">
        <v>43678</v>
      </c>
      <c r="Y125" s="4">
        <v>0</v>
      </c>
      <c r="Z125" s="4">
        <v>20</v>
      </c>
    </row>
    <row r="126" spans="1:26" x14ac:dyDescent="0.4">
      <c r="A126" t="s">
        <v>302</v>
      </c>
      <c r="B126" s="4">
        <v>10097</v>
      </c>
      <c r="C126" s="1">
        <v>52177</v>
      </c>
      <c r="D126" t="s">
        <v>11</v>
      </c>
      <c r="E126" t="s">
        <v>10</v>
      </c>
      <c r="F126" s="4">
        <v>2324</v>
      </c>
      <c r="G126" s="2">
        <v>19224</v>
      </c>
      <c r="H126" t="s">
        <v>9</v>
      </c>
      <c r="I126" t="s">
        <v>17</v>
      </c>
      <c r="J126" t="s">
        <v>16</v>
      </c>
      <c r="K126" s="2">
        <v>40853</v>
      </c>
      <c r="L126" s="3">
        <f>DATEDIF(HR_Data[[#This Row],[DOB]],HR_Data[[#This Row],[Date of Hire]],"Y")</f>
        <v>59</v>
      </c>
      <c r="M126" s="2">
        <v>42353</v>
      </c>
      <c r="N126" s="4">
        <f>IFERROR(DATEDIF(HR_Data[[#This Row],[Date of Hire]],HR_Data[[#This Row],[Date of Termination]],"Y"),"")</f>
        <v>4</v>
      </c>
      <c r="O126" t="s">
        <v>35</v>
      </c>
      <c r="P126" t="s">
        <v>27</v>
      </c>
      <c r="Q126" t="s">
        <v>4</v>
      </c>
      <c r="R126" t="s">
        <v>49</v>
      </c>
      <c r="S126" t="s">
        <v>60</v>
      </c>
      <c r="T126" t="s">
        <v>1</v>
      </c>
      <c r="U126" s="5">
        <v>4.6399999999999997</v>
      </c>
      <c r="V126" s="4">
        <v>4</v>
      </c>
      <c r="W126" s="4">
        <v>0</v>
      </c>
      <c r="X126" s="2">
        <v>42040</v>
      </c>
      <c r="Y126" s="4">
        <v>0</v>
      </c>
      <c r="Z126" s="4">
        <v>8</v>
      </c>
    </row>
    <row r="127" spans="1:26" x14ac:dyDescent="0.4">
      <c r="A127" t="s">
        <v>301</v>
      </c>
      <c r="B127" s="4">
        <v>10007</v>
      </c>
      <c r="C127" s="1">
        <v>62065</v>
      </c>
      <c r="D127" t="s">
        <v>11</v>
      </c>
      <c r="E127" t="s">
        <v>10</v>
      </c>
      <c r="F127" s="4">
        <v>1886</v>
      </c>
      <c r="G127" s="2">
        <v>27151</v>
      </c>
      <c r="H127" t="s">
        <v>9</v>
      </c>
      <c r="I127" t="s">
        <v>47</v>
      </c>
      <c r="J127" t="s">
        <v>16</v>
      </c>
      <c r="K127" s="2">
        <v>40854</v>
      </c>
      <c r="L127" s="3">
        <f>DATEDIF(HR_Data[[#This Row],[DOB]],HR_Data[[#This Row],[Date of Hire]],"Y")</f>
        <v>37</v>
      </c>
      <c r="N127" s="4" t="str">
        <f>IFERROR(DATEDIF(HR_Data[[#This Row],[Date of Hire]],HR_Data[[#This Row],[Date of Termination]],"Y"),"")</f>
        <v/>
      </c>
      <c r="O127" t="s">
        <v>6</v>
      </c>
      <c r="P127" t="s">
        <v>5</v>
      </c>
      <c r="Q127" t="s">
        <v>4</v>
      </c>
      <c r="R127" t="s">
        <v>45</v>
      </c>
      <c r="S127" t="s">
        <v>60</v>
      </c>
      <c r="T127" t="s">
        <v>20</v>
      </c>
      <c r="U127" s="5">
        <v>4.76</v>
      </c>
      <c r="V127" s="4">
        <v>4</v>
      </c>
      <c r="W127" s="4">
        <v>0</v>
      </c>
      <c r="X127" s="2">
        <v>43511</v>
      </c>
      <c r="Y127" s="4">
        <v>0</v>
      </c>
      <c r="Z127" s="4">
        <v>5</v>
      </c>
    </row>
    <row r="128" spans="1:26" x14ac:dyDescent="0.4">
      <c r="A128" t="s">
        <v>300</v>
      </c>
      <c r="B128" s="4">
        <v>10129</v>
      </c>
      <c r="C128" s="1">
        <v>46998</v>
      </c>
      <c r="D128" t="s">
        <v>11</v>
      </c>
      <c r="E128" t="s">
        <v>10</v>
      </c>
      <c r="F128" s="4">
        <v>2149</v>
      </c>
      <c r="G128" s="2">
        <v>30685</v>
      </c>
      <c r="H128" t="s">
        <v>31</v>
      </c>
      <c r="I128" t="s">
        <v>17</v>
      </c>
      <c r="J128" t="s">
        <v>16</v>
      </c>
      <c r="K128" s="2">
        <v>40855</v>
      </c>
      <c r="L128" s="3">
        <f>DATEDIF(HR_Data[[#This Row],[DOB]],HR_Data[[#This Row],[Date of Hire]],"Y")</f>
        <v>27</v>
      </c>
      <c r="N128" s="4" t="str">
        <f>IFERROR(DATEDIF(HR_Data[[#This Row],[Date of Hire]],HR_Data[[#This Row],[Date of Termination]],"Y"),"")</f>
        <v/>
      </c>
      <c r="O128" t="s">
        <v>6</v>
      </c>
      <c r="P128" t="s">
        <v>5</v>
      </c>
      <c r="Q128" t="s">
        <v>4</v>
      </c>
      <c r="R128" t="s">
        <v>38</v>
      </c>
      <c r="S128" t="s">
        <v>25</v>
      </c>
      <c r="T128" t="s">
        <v>1</v>
      </c>
      <c r="U128" s="5">
        <v>4.17</v>
      </c>
      <c r="V128" s="4">
        <v>4</v>
      </c>
      <c r="W128" s="4">
        <v>0</v>
      </c>
      <c r="X128" s="2">
        <v>43771</v>
      </c>
      <c r="Y128" s="4">
        <v>0</v>
      </c>
      <c r="Z128" s="4">
        <v>1</v>
      </c>
    </row>
    <row r="129" spans="1:26" x14ac:dyDescent="0.4">
      <c r="A129" t="s">
        <v>299</v>
      </c>
      <c r="B129" s="4">
        <v>10075</v>
      </c>
      <c r="C129" s="1">
        <v>68099</v>
      </c>
      <c r="D129" t="s">
        <v>32</v>
      </c>
      <c r="E129" t="s">
        <v>10</v>
      </c>
      <c r="F129" s="4">
        <v>2021</v>
      </c>
      <c r="G129" s="2">
        <v>26538</v>
      </c>
      <c r="H129" t="s">
        <v>9</v>
      </c>
      <c r="I129" t="s">
        <v>17</v>
      </c>
      <c r="J129" t="s">
        <v>16</v>
      </c>
      <c r="K129" s="2">
        <v>40856</v>
      </c>
      <c r="L129" s="3">
        <f>DATEDIF(HR_Data[[#This Row],[DOB]],HR_Data[[#This Row],[Date of Hire]],"Y")</f>
        <v>39</v>
      </c>
      <c r="M129" s="2">
        <v>41443</v>
      </c>
      <c r="N129" s="4">
        <f>IFERROR(DATEDIF(HR_Data[[#This Row],[Date of Hire]],HR_Data[[#This Row],[Date of Termination]],"Y"),"")</f>
        <v>1</v>
      </c>
      <c r="O129" t="s">
        <v>50</v>
      </c>
      <c r="P129" t="s">
        <v>27</v>
      </c>
      <c r="Q129" t="s">
        <v>4</v>
      </c>
      <c r="R129" t="s">
        <v>69</v>
      </c>
      <c r="S129" t="s">
        <v>60</v>
      </c>
      <c r="T129" t="s">
        <v>1</v>
      </c>
      <c r="U129" s="5">
        <v>5</v>
      </c>
      <c r="V129" s="4">
        <v>3</v>
      </c>
      <c r="W129" s="4">
        <v>0</v>
      </c>
      <c r="X129" s="2">
        <v>41304</v>
      </c>
      <c r="Y129" s="4">
        <v>0</v>
      </c>
      <c r="Z129" s="4">
        <v>15</v>
      </c>
    </row>
    <row r="130" spans="1:26" x14ac:dyDescent="0.4">
      <c r="A130" t="s">
        <v>298</v>
      </c>
      <c r="B130" s="4">
        <v>10167</v>
      </c>
      <c r="C130" s="1">
        <v>70545</v>
      </c>
      <c r="D130" t="s">
        <v>79</v>
      </c>
      <c r="E130" t="s">
        <v>297</v>
      </c>
      <c r="F130" s="4">
        <v>3062</v>
      </c>
      <c r="G130" s="2">
        <v>32400</v>
      </c>
      <c r="H130" t="s">
        <v>31</v>
      </c>
      <c r="I130" t="s">
        <v>47</v>
      </c>
      <c r="J130" t="s">
        <v>281</v>
      </c>
      <c r="K130" s="2">
        <v>40857</v>
      </c>
      <c r="L130" s="3">
        <f>DATEDIF(HR_Data[[#This Row],[DOB]],HR_Data[[#This Row],[Date of Hire]],"Y")</f>
        <v>23</v>
      </c>
      <c r="N130" s="4" t="str">
        <f>IFERROR(DATEDIF(HR_Data[[#This Row],[Date of Hire]],HR_Data[[#This Row],[Date of Termination]],"Y"),"")</f>
        <v/>
      </c>
      <c r="O130" t="s">
        <v>6</v>
      </c>
      <c r="P130" t="s">
        <v>5</v>
      </c>
      <c r="Q130" t="s">
        <v>77</v>
      </c>
      <c r="R130" t="s">
        <v>76</v>
      </c>
      <c r="S130" t="s">
        <v>55</v>
      </c>
      <c r="T130" t="s">
        <v>1</v>
      </c>
      <c r="U130" s="5">
        <v>3.6</v>
      </c>
      <c r="V130" s="4">
        <v>5</v>
      </c>
      <c r="W130" s="4">
        <v>0</v>
      </c>
      <c r="X130" s="2">
        <v>43495</v>
      </c>
      <c r="Y130" s="4">
        <v>0</v>
      </c>
      <c r="Z130" s="4">
        <v>9</v>
      </c>
    </row>
    <row r="131" spans="1:26" x14ac:dyDescent="0.4">
      <c r="A131" t="s">
        <v>296</v>
      </c>
      <c r="B131" s="4">
        <v>10195</v>
      </c>
      <c r="C131" s="1">
        <v>63478</v>
      </c>
      <c r="D131" t="s">
        <v>32</v>
      </c>
      <c r="E131" t="s">
        <v>10</v>
      </c>
      <c r="F131" s="4">
        <v>2445</v>
      </c>
      <c r="G131" s="2">
        <v>30728</v>
      </c>
      <c r="H131" t="s">
        <v>9</v>
      </c>
      <c r="I131" t="s">
        <v>47</v>
      </c>
      <c r="J131" t="s">
        <v>16</v>
      </c>
      <c r="K131" s="2">
        <v>40858</v>
      </c>
      <c r="L131" s="3">
        <f>DATEDIF(HR_Data[[#This Row],[DOB]],HR_Data[[#This Row],[Date of Hire]],"Y")</f>
        <v>27</v>
      </c>
      <c r="M131" s="2">
        <v>41006</v>
      </c>
      <c r="N131" s="4">
        <f>IFERROR(DATEDIF(HR_Data[[#This Row],[Date of Hire]],HR_Data[[#This Row],[Date of Termination]],"Y"),"")</f>
        <v>0</v>
      </c>
      <c r="O131" t="s">
        <v>39</v>
      </c>
      <c r="P131" t="s">
        <v>27</v>
      </c>
      <c r="Q131" t="s">
        <v>4</v>
      </c>
      <c r="R131" t="s">
        <v>67</v>
      </c>
      <c r="S131" t="s">
        <v>55</v>
      </c>
      <c r="T131" t="s">
        <v>1</v>
      </c>
      <c r="U131" s="5">
        <v>3.03</v>
      </c>
      <c r="V131" s="4">
        <v>5</v>
      </c>
      <c r="W131" s="4">
        <v>0</v>
      </c>
      <c r="X131" s="2">
        <v>41032</v>
      </c>
      <c r="Y131" s="4">
        <v>0</v>
      </c>
      <c r="Z131" s="4">
        <v>16</v>
      </c>
    </row>
    <row r="132" spans="1:26" x14ac:dyDescent="0.4">
      <c r="A132" t="s">
        <v>295</v>
      </c>
      <c r="B132" s="4">
        <v>10112</v>
      </c>
      <c r="C132" s="1">
        <v>97999</v>
      </c>
      <c r="D132" t="s">
        <v>74</v>
      </c>
      <c r="E132" t="s">
        <v>10</v>
      </c>
      <c r="F132" s="4">
        <v>2493</v>
      </c>
      <c r="G132" s="2">
        <v>30733</v>
      </c>
      <c r="H132" t="s">
        <v>9</v>
      </c>
      <c r="I132" t="s">
        <v>17</v>
      </c>
      <c r="J132" t="s">
        <v>16</v>
      </c>
      <c r="K132" s="2">
        <v>40859</v>
      </c>
      <c r="L132" s="3">
        <f>DATEDIF(HR_Data[[#This Row],[DOB]],HR_Data[[#This Row],[Date of Hire]],"Y")</f>
        <v>27</v>
      </c>
      <c r="N132" s="4" t="str">
        <f>IFERROR(DATEDIF(HR_Data[[#This Row],[Date of Hire]],HR_Data[[#This Row],[Date of Termination]],"Y"),"")</f>
        <v/>
      </c>
      <c r="O132" t="s">
        <v>6</v>
      </c>
      <c r="P132" t="s">
        <v>5</v>
      </c>
      <c r="Q132" t="s">
        <v>15</v>
      </c>
      <c r="R132" t="s">
        <v>14</v>
      </c>
      <c r="S132" t="s">
        <v>55</v>
      </c>
      <c r="T132" t="s">
        <v>1</v>
      </c>
      <c r="U132" s="5">
        <v>4.4800000000000004</v>
      </c>
      <c r="V132" s="4">
        <v>5</v>
      </c>
      <c r="W132" s="4">
        <v>6</v>
      </c>
      <c r="X132" s="2">
        <v>43525</v>
      </c>
      <c r="Y132" s="4">
        <v>0</v>
      </c>
      <c r="Z132" s="4">
        <v>4</v>
      </c>
    </row>
    <row r="133" spans="1:26" x14ac:dyDescent="0.4">
      <c r="A133" t="s">
        <v>294</v>
      </c>
      <c r="B133" s="4">
        <v>10272</v>
      </c>
      <c r="C133" s="1">
        <v>180000</v>
      </c>
      <c r="D133" t="s">
        <v>293</v>
      </c>
      <c r="E133" t="s">
        <v>292</v>
      </c>
      <c r="F133" s="4">
        <v>2908</v>
      </c>
      <c r="G133" s="2">
        <v>24183</v>
      </c>
      <c r="H133" t="s">
        <v>9</v>
      </c>
      <c r="I133" t="s">
        <v>47</v>
      </c>
      <c r="J133" t="s">
        <v>16</v>
      </c>
      <c r="K133" s="2">
        <v>40860</v>
      </c>
      <c r="L133" s="3">
        <f>DATEDIF(HR_Data[[#This Row],[DOB]],HR_Data[[#This Row],[Date of Hire]],"Y")</f>
        <v>45</v>
      </c>
      <c r="N133" s="4" t="str">
        <f>IFERROR(DATEDIF(HR_Data[[#This Row],[Date of Hire]],HR_Data[[#This Row],[Date of Termination]],"Y"),"")</f>
        <v/>
      </c>
      <c r="O133" t="s">
        <v>6</v>
      </c>
      <c r="P133" t="s">
        <v>5</v>
      </c>
      <c r="Q133" t="s">
        <v>77</v>
      </c>
      <c r="R133" t="s">
        <v>21</v>
      </c>
      <c r="S133" t="s">
        <v>2</v>
      </c>
      <c r="T133" t="s">
        <v>1</v>
      </c>
      <c r="U133" s="5">
        <v>4.5</v>
      </c>
      <c r="V133" s="4">
        <v>4</v>
      </c>
      <c r="W133" s="4">
        <v>0</v>
      </c>
      <c r="X133" s="2">
        <v>43486</v>
      </c>
      <c r="Y133" s="4">
        <v>0</v>
      </c>
      <c r="Z133" s="4">
        <v>19</v>
      </c>
    </row>
    <row r="134" spans="1:26" x14ac:dyDescent="0.4">
      <c r="A134" t="s">
        <v>291</v>
      </c>
      <c r="B134" s="4">
        <v>10182</v>
      </c>
      <c r="C134" s="1">
        <v>49920</v>
      </c>
      <c r="D134" t="s">
        <v>135</v>
      </c>
      <c r="E134" t="s">
        <v>10</v>
      </c>
      <c r="F134" s="4">
        <v>2170</v>
      </c>
      <c r="G134" s="2">
        <v>31306</v>
      </c>
      <c r="H134" t="s">
        <v>9</v>
      </c>
      <c r="I134" t="s">
        <v>47</v>
      </c>
      <c r="J134" t="s">
        <v>40</v>
      </c>
      <c r="K134" s="2">
        <v>40861</v>
      </c>
      <c r="L134" s="3">
        <f>DATEDIF(HR_Data[[#This Row],[DOB]],HR_Data[[#This Row],[Date of Hire]],"Y")</f>
        <v>26</v>
      </c>
      <c r="M134" s="2">
        <v>42109</v>
      </c>
      <c r="N134" s="4">
        <f>IFERROR(DATEDIF(HR_Data[[#This Row],[Date of Hire]],HR_Data[[#This Row],[Date of Termination]],"Y"),"")</f>
        <v>3</v>
      </c>
      <c r="O134" t="s">
        <v>73</v>
      </c>
      <c r="P134" t="s">
        <v>70</v>
      </c>
      <c r="Q134" t="s">
        <v>121</v>
      </c>
      <c r="R134" t="s">
        <v>120</v>
      </c>
      <c r="S134" t="s">
        <v>55</v>
      </c>
      <c r="T134" t="s">
        <v>1</v>
      </c>
      <c r="U134" s="5">
        <v>3.24</v>
      </c>
      <c r="V134" s="4">
        <v>3</v>
      </c>
      <c r="W134" s="4">
        <v>4</v>
      </c>
      <c r="X134" s="2">
        <v>42109</v>
      </c>
      <c r="Y134" s="4">
        <v>0</v>
      </c>
      <c r="Z134" s="4">
        <v>6</v>
      </c>
    </row>
    <row r="135" spans="1:26" x14ac:dyDescent="0.4">
      <c r="A135" t="s">
        <v>290</v>
      </c>
      <c r="B135" s="4">
        <v>10248</v>
      </c>
      <c r="C135" s="1">
        <v>55425</v>
      </c>
      <c r="D135" t="s">
        <v>11</v>
      </c>
      <c r="E135" t="s">
        <v>10</v>
      </c>
      <c r="F135" s="4">
        <v>2176</v>
      </c>
      <c r="G135" s="2">
        <v>31573</v>
      </c>
      <c r="H135" t="s">
        <v>9</v>
      </c>
      <c r="I135" t="s">
        <v>17</v>
      </c>
      <c r="J135" t="s">
        <v>16</v>
      </c>
      <c r="K135" s="2">
        <v>40862</v>
      </c>
      <c r="L135" s="3">
        <f>DATEDIF(HR_Data[[#This Row],[DOB]],HR_Data[[#This Row],[Date of Hire]],"Y")</f>
        <v>25</v>
      </c>
      <c r="N135" s="4" t="str">
        <f>IFERROR(DATEDIF(HR_Data[[#This Row],[Date of Hire]],HR_Data[[#This Row],[Date of Termination]],"Y"),"")</f>
        <v/>
      </c>
      <c r="O135" t="s">
        <v>6</v>
      </c>
      <c r="P135" t="s">
        <v>5</v>
      </c>
      <c r="Q135" t="s">
        <v>4</v>
      </c>
      <c r="R135" t="s">
        <v>38</v>
      </c>
      <c r="S135" t="s">
        <v>2</v>
      </c>
      <c r="T135" t="s">
        <v>1</v>
      </c>
      <c r="U135" s="5">
        <v>4.8</v>
      </c>
      <c r="V135" s="4">
        <v>4</v>
      </c>
      <c r="W135" s="4">
        <v>0</v>
      </c>
      <c r="X135" s="2">
        <v>43647</v>
      </c>
      <c r="Y135" s="4">
        <v>0</v>
      </c>
      <c r="Z135" s="4">
        <v>4</v>
      </c>
    </row>
    <row r="136" spans="1:26" x14ac:dyDescent="0.4">
      <c r="A136" t="s">
        <v>289</v>
      </c>
      <c r="B136" s="4">
        <v>10201</v>
      </c>
      <c r="C136" s="1">
        <v>69340</v>
      </c>
      <c r="D136" t="s">
        <v>32</v>
      </c>
      <c r="E136" t="s">
        <v>10</v>
      </c>
      <c r="F136" s="4">
        <v>2021</v>
      </c>
      <c r="G136" s="2">
        <v>30752</v>
      </c>
      <c r="H136" t="s">
        <v>9</v>
      </c>
      <c r="I136" t="s">
        <v>17</v>
      </c>
      <c r="J136" t="s">
        <v>16</v>
      </c>
      <c r="K136" s="2">
        <v>40863</v>
      </c>
      <c r="L136" s="3">
        <f>DATEDIF(HR_Data[[#This Row],[DOB]],HR_Data[[#This Row],[Date of Hire]],"Y")</f>
        <v>27</v>
      </c>
      <c r="N136" s="4" t="str">
        <f>IFERROR(DATEDIF(HR_Data[[#This Row],[Date of Hire]],HR_Data[[#This Row],[Date of Termination]],"Y"),"")</f>
        <v/>
      </c>
      <c r="O136" t="s">
        <v>6</v>
      </c>
      <c r="P136" t="s">
        <v>5</v>
      </c>
      <c r="Q136" t="s">
        <v>4</v>
      </c>
      <c r="R136" t="s">
        <v>61</v>
      </c>
      <c r="S136" t="s">
        <v>2</v>
      </c>
      <c r="T136" t="s">
        <v>1</v>
      </c>
      <c r="U136" s="5">
        <v>3</v>
      </c>
      <c r="V136" s="4">
        <v>5</v>
      </c>
      <c r="W136" s="4">
        <v>0</v>
      </c>
      <c r="X136" s="2">
        <v>43483</v>
      </c>
      <c r="Y136" s="4">
        <v>0</v>
      </c>
      <c r="Z136" s="4">
        <v>4</v>
      </c>
    </row>
    <row r="137" spans="1:26" x14ac:dyDescent="0.4">
      <c r="A137" t="s">
        <v>288</v>
      </c>
      <c r="B137" s="4">
        <v>10214</v>
      </c>
      <c r="C137" s="1">
        <v>64995</v>
      </c>
      <c r="D137" t="s">
        <v>32</v>
      </c>
      <c r="E137" t="s">
        <v>10</v>
      </c>
      <c r="F137" s="4">
        <v>2351</v>
      </c>
      <c r="G137" s="2">
        <v>33731</v>
      </c>
      <c r="H137" t="s">
        <v>9</v>
      </c>
      <c r="I137" t="s">
        <v>98</v>
      </c>
      <c r="J137" t="s">
        <v>16</v>
      </c>
      <c r="K137" s="2">
        <v>40864</v>
      </c>
      <c r="L137" s="3">
        <f>DATEDIF(HR_Data[[#This Row],[DOB]],HR_Data[[#This Row],[Date of Hire]],"Y")</f>
        <v>19</v>
      </c>
      <c r="N137" s="4" t="str">
        <f>IFERROR(DATEDIF(HR_Data[[#This Row],[Date of Hire]],HR_Data[[#This Row],[Date of Termination]],"Y"),"")</f>
        <v/>
      </c>
      <c r="O137" t="s">
        <v>6</v>
      </c>
      <c r="P137" t="s">
        <v>5</v>
      </c>
      <c r="Q137" t="s">
        <v>4</v>
      </c>
      <c r="R137" t="s">
        <v>49</v>
      </c>
      <c r="S137" t="s">
        <v>55</v>
      </c>
      <c r="T137" t="s">
        <v>1</v>
      </c>
      <c r="U137" s="5">
        <v>4.5</v>
      </c>
      <c r="V137" s="4">
        <v>3</v>
      </c>
      <c r="W137" s="4">
        <v>0</v>
      </c>
      <c r="X137" s="2">
        <v>43510</v>
      </c>
      <c r="Y137" s="4">
        <v>0</v>
      </c>
      <c r="Z137" s="4">
        <v>6</v>
      </c>
    </row>
    <row r="138" spans="1:26" x14ac:dyDescent="0.4">
      <c r="A138" t="s">
        <v>287</v>
      </c>
      <c r="B138" s="4">
        <v>10160</v>
      </c>
      <c r="C138" s="1">
        <v>68182</v>
      </c>
      <c r="D138" t="s">
        <v>32</v>
      </c>
      <c r="E138" t="s">
        <v>10</v>
      </c>
      <c r="F138" s="4">
        <v>1742</v>
      </c>
      <c r="G138" s="2">
        <v>28025</v>
      </c>
      <c r="H138" t="s">
        <v>9</v>
      </c>
      <c r="I138" t="s">
        <v>42</v>
      </c>
      <c r="J138" t="s">
        <v>16</v>
      </c>
      <c r="K138" s="2">
        <v>40865</v>
      </c>
      <c r="L138" s="3">
        <f>DATEDIF(HR_Data[[#This Row],[DOB]],HR_Data[[#This Row],[Date of Hire]],"Y")</f>
        <v>35</v>
      </c>
      <c r="M138" s="2">
        <v>41365</v>
      </c>
      <c r="N138" s="4">
        <f>IFERROR(DATEDIF(HR_Data[[#This Row],[Date of Hire]],HR_Data[[#This Row],[Date of Termination]],"Y"),"")</f>
        <v>1</v>
      </c>
      <c r="O138" t="s">
        <v>46</v>
      </c>
      <c r="P138" t="s">
        <v>27</v>
      </c>
      <c r="Q138" t="s">
        <v>4</v>
      </c>
      <c r="R138" t="s">
        <v>45</v>
      </c>
      <c r="S138" t="s">
        <v>25</v>
      </c>
      <c r="T138" t="s">
        <v>1</v>
      </c>
      <c r="U138" s="5">
        <v>3.72</v>
      </c>
      <c r="V138" s="4">
        <v>3</v>
      </c>
      <c r="W138" s="4">
        <v>0</v>
      </c>
      <c r="X138" s="2">
        <v>41276</v>
      </c>
      <c r="Y138" s="4">
        <v>0</v>
      </c>
      <c r="Z138" s="4">
        <v>18</v>
      </c>
    </row>
    <row r="139" spans="1:26" x14ac:dyDescent="0.4">
      <c r="A139" t="s">
        <v>286</v>
      </c>
      <c r="B139" s="4">
        <v>10289</v>
      </c>
      <c r="C139" s="1">
        <v>83082</v>
      </c>
      <c r="D139" t="s">
        <v>64</v>
      </c>
      <c r="E139" t="s">
        <v>10</v>
      </c>
      <c r="F139" s="4">
        <v>2128</v>
      </c>
      <c r="G139" s="2">
        <v>28079</v>
      </c>
      <c r="H139" t="s">
        <v>31</v>
      </c>
      <c r="I139" t="s">
        <v>47</v>
      </c>
      <c r="J139" t="s">
        <v>7</v>
      </c>
      <c r="K139" s="2">
        <v>40866</v>
      </c>
      <c r="L139" s="3">
        <f>DATEDIF(HR_Data[[#This Row],[DOB]],HR_Data[[#This Row],[Date of Hire]],"Y")</f>
        <v>35</v>
      </c>
      <c r="M139" s="2">
        <v>41176</v>
      </c>
      <c r="N139" s="4">
        <f>IFERROR(DATEDIF(HR_Data[[#This Row],[Date of Hire]],HR_Data[[#This Row],[Date of Termination]],"Y"),"")</f>
        <v>0</v>
      </c>
      <c r="O139" t="s">
        <v>46</v>
      </c>
      <c r="P139" t="s">
        <v>27</v>
      </c>
      <c r="Q139" t="s">
        <v>4</v>
      </c>
      <c r="R139" t="s">
        <v>21</v>
      </c>
      <c r="S139" t="s">
        <v>55</v>
      </c>
      <c r="T139" t="s">
        <v>59</v>
      </c>
      <c r="U139" s="5">
        <v>2.34</v>
      </c>
      <c r="V139" s="4">
        <v>2</v>
      </c>
      <c r="W139" s="4">
        <v>0</v>
      </c>
      <c r="X139" s="2">
        <v>41247</v>
      </c>
      <c r="Y139" s="4">
        <v>3</v>
      </c>
      <c r="Z139" s="4">
        <v>4</v>
      </c>
    </row>
    <row r="140" spans="1:26" x14ac:dyDescent="0.4">
      <c r="A140" t="s">
        <v>285</v>
      </c>
      <c r="B140" s="4">
        <v>10139</v>
      </c>
      <c r="C140" s="1">
        <v>51908</v>
      </c>
      <c r="D140" t="s">
        <v>11</v>
      </c>
      <c r="E140" t="s">
        <v>10</v>
      </c>
      <c r="F140" s="4">
        <v>1775</v>
      </c>
      <c r="G140" s="2">
        <v>33266</v>
      </c>
      <c r="H140" t="s">
        <v>9</v>
      </c>
      <c r="I140" t="s">
        <v>17</v>
      </c>
      <c r="J140" t="s">
        <v>16</v>
      </c>
      <c r="K140" s="2">
        <v>40867</v>
      </c>
      <c r="L140" s="3">
        <f>DATEDIF(HR_Data[[#This Row],[DOB]],HR_Data[[#This Row],[Date of Hire]],"Y")</f>
        <v>20</v>
      </c>
      <c r="N140" s="4" t="str">
        <f>IFERROR(DATEDIF(HR_Data[[#This Row],[Date of Hire]],HR_Data[[#This Row],[Date of Termination]],"Y"),"")</f>
        <v/>
      </c>
      <c r="O140" t="s">
        <v>6</v>
      </c>
      <c r="P140" t="s">
        <v>5</v>
      </c>
      <c r="Q140" t="s">
        <v>4</v>
      </c>
      <c r="R140" t="s">
        <v>26</v>
      </c>
      <c r="S140" t="s">
        <v>55</v>
      </c>
      <c r="T140" t="s">
        <v>1</v>
      </c>
      <c r="U140" s="5">
        <v>3.99</v>
      </c>
      <c r="V140" s="4">
        <v>3</v>
      </c>
      <c r="W140" s="4">
        <v>0</v>
      </c>
      <c r="X140" s="2">
        <v>43479</v>
      </c>
      <c r="Y140" s="4">
        <v>0</v>
      </c>
      <c r="Z140" s="4">
        <v>14</v>
      </c>
    </row>
    <row r="141" spans="1:26" x14ac:dyDescent="0.4">
      <c r="A141" t="s">
        <v>284</v>
      </c>
      <c r="B141" s="4">
        <v>10227</v>
      </c>
      <c r="C141" s="1">
        <v>61242</v>
      </c>
      <c r="D141" t="s">
        <v>11</v>
      </c>
      <c r="E141" t="s">
        <v>10</v>
      </c>
      <c r="F141" s="4">
        <v>2081</v>
      </c>
      <c r="G141" s="2">
        <v>26553</v>
      </c>
      <c r="H141" t="s">
        <v>9</v>
      </c>
      <c r="I141" t="s">
        <v>17</v>
      </c>
      <c r="J141" t="s">
        <v>40</v>
      </c>
      <c r="K141" s="2">
        <v>40868</v>
      </c>
      <c r="L141" s="3">
        <f>DATEDIF(HR_Data[[#This Row],[DOB]],HR_Data[[#This Row],[Date of Hire]],"Y")</f>
        <v>39</v>
      </c>
      <c r="N141" s="4" t="str">
        <f>IFERROR(DATEDIF(HR_Data[[#This Row],[Date of Hire]],HR_Data[[#This Row],[Date of Termination]],"Y"),"")</f>
        <v/>
      </c>
      <c r="O141" t="s">
        <v>6</v>
      </c>
      <c r="P141" t="s">
        <v>5</v>
      </c>
      <c r="Q141" t="s">
        <v>4</v>
      </c>
      <c r="R141" t="s">
        <v>3</v>
      </c>
      <c r="S141" t="s">
        <v>2</v>
      </c>
      <c r="T141" t="s">
        <v>1</v>
      </c>
      <c r="U141" s="5">
        <v>4.0999999999999996</v>
      </c>
      <c r="V141" s="4">
        <v>3</v>
      </c>
      <c r="W141" s="4">
        <v>0</v>
      </c>
      <c r="X141" s="2">
        <v>43482</v>
      </c>
      <c r="Y141" s="4">
        <v>0</v>
      </c>
      <c r="Z141" s="4">
        <v>7</v>
      </c>
    </row>
    <row r="142" spans="1:26" x14ac:dyDescent="0.4">
      <c r="A142" t="s">
        <v>283</v>
      </c>
      <c r="B142" s="4">
        <v>10236</v>
      </c>
      <c r="C142" s="1">
        <v>45069</v>
      </c>
      <c r="D142" t="s">
        <v>11</v>
      </c>
      <c r="E142" t="s">
        <v>10</v>
      </c>
      <c r="F142" s="4">
        <v>1778</v>
      </c>
      <c r="G142" s="2">
        <v>24188</v>
      </c>
      <c r="H142" t="s">
        <v>9</v>
      </c>
      <c r="I142" t="s">
        <v>42</v>
      </c>
      <c r="J142" t="s">
        <v>16</v>
      </c>
      <c r="K142" s="2">
        <v>40869</v>
      </c>
      <c r="L142" s="3">
        <f>DATEDIF(HR_Data[[#This Row],[DOB]],HR_Data[[#This Row],[Date of Hire]],"Y")</f>
        <v>45</v>
      </c>
      <c r="N142" s="4" t="str">
        <f>IFERROR(DATEDIF(HR_Data[[#This Row],[Date of Hire]],HR_Data[[#This Row],[Date of Termination]],"Y"),"")</f>
        <v/>
      </c>
      <c r="O142" t="s">
        <v>6</v>
      </c>
      <c r="P142" t="s">
        <v>5</v>
      </c>
      <c r="Q142" t="s">
        <v>4</v>
      </c>
      <c r="R142" t="s">
        <v>30</v>
      </c>
      <c r="S142" t="s">
        <v>13</v>
      </c>
      <c r="T142" t="s">
        <v>1</v>
      </c>
      <c r="U142" s="5">
        <v>4.3</v>
      </c>
      <c r="V142" s="4">
        <v>5</v>
      </c>
      <c r="W142" s="4">
        <v>0</v>
      </c>
      <c r="X142" s="2">
        <v>43518</v>
      </c>
      <c r="Y142" s="4">
        <v>0</v>
      </c>
      <c r="Z142" s="4">
        <v>7</v>
      </c>
    </row>
    <row r="143" spans="1:26" x14ac:dyDescent="0.4">
      <c r="A143" t="s">
        <v>282</v>
      </c>
      <c r="B143" s="4">
        <v>10009</v>
      </c>
      <c r="C143" s="1">
        <v>60724</v>
      </c>
      <c r="D143" t="s">
        <v>32</v>
      </c>
      <c r="E143" t="s">
        <v>10</v>
      </c>
      <c r="F143" s="4">
        <v>1821</v>
      </c>
      <c r="G143" s="2">
        <v>31722</v>
      </c>
      <c r="H143" t="s">
        <v>9</v>
      </c>
      <c r="I143" t="s">
        <v>42</v>
      </c>
      <c r="J143" t="s">
        <v>281</v>
      </c>
      <c r="K143" s="2">
        <v>40870</v>
      </c>
      <c r="L143" s="3">
        <f>DATEDIF(HR_Data[[#This Row],[DOB]],HR_Data[[#This Row],[Date of Hire]],"Y")</f>
        <v>25</v>
      </c>
      <c r="N143" s="4" t="str">
        <f>IFERROR(DATEDIF(HR_Data[[#This Row],[Date of Hire]],HR_Data[[#This Row],[Date of Termination]],"Y"),"")</f>
        <v/>
      </c>
      <c r="O143" t="s">
        <v>6</v>
      </c>
      <c r="P143" t="s">
        <v>5</v>
      </c>
      <c r="Q143" t="s">
        <v>4</v>
      </c>
      <c r="R143" t="s">
        <v>38</v>
      </c>
      <c r="S143" t="s">
        <v>2</v>
      </c>
      <c r="T143" t="s">
        <v>20</v>
      </c>
      <c r="U143" s="5">
        <v>4.5999999999999996</v>
      </c>
      <c r="V143" s="4">
        <v>4</v>
      </c>
      <c r="W143" s="4">
        <v>0</v>
      </c>
      <c r="X143" s="2">
        <v>43521</v>
      </c>
      <c r="Y143" s="4">
        <v>0</v>
      </c>
      <c r="Z143" s="4">
        <v>11</v>
      </c>
    </row>
    <row r="144" spans="1:26" x14ac:dyDescent="0.4">
      <c r="A144" t="s">
        <v>280</v>
      </c>
      <c r="B144" s="4">
        <v>10060</v>
      </c>
      <c r="C144" s="1">
        <v>60436</v>
      </c>
      <c r="D144" t="s">
        <v>11</v>
      </c>
      <c r="E144" t="s">
        <v>10</v>
      </c>
      <c r="F144" s="4">
        <v>2109</v>
      </c>
      <c r="G144" s="2">
        <v>23480</v>
      </c>
      <c r="H144" t="s">
        <v>9</v>
      </c>
      <c r="I144" t="s">
        <v>98</v>
      </c>
      <c r="J144" t="s">
        <v>16</v>
      </c>
      <c r="K144" s="2">
        <v>40871</v>
      </c>
      <c r="L144" s="3">
        <f>DATEDIF(HR_Data[[#This Row],[DOB]],HR_Data[[#This Row],[Date of Hire]],"Y")</f>
        <v>47</v>
      </c>
      <c r="N144" s="4" t="str">
        <f>IFERROR(DATEDIF(HR_Data[[#This Row],[Date of Hire]],HR_Data[[#This Row],[Date of Termination]],"Y"),"")</f>
        <v/>
      </c>
      <c r="O144" t="s">
        <v>6</v>
      </c>
      <c r="P144" t="s">
        <v>5</v>
      </c>
      <c r="Q144" t="s">
        <v>4</v>
      </c>
      <c r="R144" t="s">
        <v>69</v>
      </c>
      <c r="S144" t="s">
        <v>2</v>
      </c>
      <c r="T144" t="s">
        <v>1</v>
      </c>
      <c r="U144" s="5">
        <v>5</v>
      </c>
      <c r="V144" s="4">
        <v>5</v>
      </c>
      <c r="W144" s="4">
        <v>0</v>
      </c>
      <c r="X144" s="2">
        <v>43486</v>
      </c>
      <c r="Y144" s="4">
        <v>0</v>
      </c>
      <c r="Z144" s="4">
        <v>9</v>
      </c>
    </row>
    <row r="145" spans="1:26" x14ac:dyDescent="0.4">
      <c r="A145" t="s">
        <v>279</v>
      </c>
      <c r="B145" s="4">
        <v>10034</v>
      </c>
      <c r="C145" s="1">
        <v>46837</v>
      </c>
      <c r="D145" t="s">
        <v>11</v>
      </c>
      <c r="E145" t="s">
        <v>10</v>
      </c>
      <c r="F145" s="4">
        <v>2445</v>
      </c>
      <c r="G145" s="2">
        <v>21781</v>
      </c>
      <c r="H145" t="s">
        <v>31</v>
      </c>
      <c r="I145" t="s">
        <v>47</v>
      </c>
      <c r="J145" t="s">
        <v>16</v>
      </c>
      <c r="K145" s="2">
        <v>40872</v>
      </c>
      <c r="L145" s="3">
        <f>DATEDIF(HR_Data[[#This Row],[DOB]],HR_Data[[#This Row],[Date of Hire]],"Y")</f>
        <v>52</v>
      </c>
      <c r="M145" s="2">
        <v>43219</v>
      </c>
      <c r="N145" s="4">
        <f>IFERROR(DATEDIF(HR_Data[[#This Row],[Date of Hire]],HR_Data[[#This Row],[Date of Termination]],"Y"),"")</f>
        <v>6</v>
      </c>
      <c r="O145" t="s">
        <v>175</v>
      </c>
      <c r="P145" t="s">
        <v>27</v>
      </c>
      <c r="Q145" t="s">
        <v>4</v>
      </c>
      <c r="R145" t="s">
        <v>67</v>
      </c>
      <c r="S145" t="s">
        <v>60</v>
      </c>
      <c r="T145" t="s">
        <v>20</v>
      </c>
      <c r="U145" s="5">
        <v>4.7</v>
      </c>
      <c r="V145" s="4">
        <v>4</v>
      </c>
      <c r="W145" s="4">
        <v>0</v>
      </c>
      <c r="X145" s="2">
        <v>43145</v>
      </c>
      <c r="Y145" s="4">
        <v>0</v>
      </c>
      <c r="Z145" s="4">
        <v>9</v>
      </c>
    </row>
    <row r="146" spans="1:26" x14ac:dyDescent="0.4">
      <c r="A146" t="s">
        <v>278</v>
      </c>
      <c r="B146" s="4">
        <v>10156</v>
      </c>
      <c r="C146" s="1">
        <v>105700</v>
      </c>
      <c r="D146" t="s">
        <v>74</v>
      </c>
      <c r="E146" t="s">
        <v>10</v>
      </c>
      <c r="F146" s="4">
        <v>2301</v>
      </c>
      <c r="G146" s="2">
        <v>31723</v>
      </c>
      <c r="H146" t="s">
        <v>9</v>
      </c>
      <c r="I146" t="s">
        <v>47</v>
      </c>
      <c r="J146" t="s">
        <v>7</v>
      </c>
      <c r="K146" s="2">
        <v>40873</v>
      </c>
      <c r="L146" s="3">
        <f>DATEDIF(HR_Data[[#This Row],[DOB]],HR_Data[[#This Row],[Date of Hire]],"Y")</f>
        <v>25</v>
      </c>
      <c r="N146" s="4" t="str">
        <f>IFERROR(DATEDIF(HR_Data[[#This Row],[Date of Hire]],HR_Data[[#This Row],[Date of Termination]],"Y"),"")</f>
        <v/>
      </c>
      <c r="O146" t="s">
        <v>6</v>
      </c>
      <c r="P146" t="s">
        <v>5</v>
      </c>
      <c r="Q146" t="s">
        <v>15</v>
      </c>
      <c r="R146" t="s">
        <v>14</v>
      </c>
      <c r="S146" t="s">
        <v>55</v>
      </c>
      <c r="T146" t="s">
        <v>1</v>
      </c>
      <c r="U146" s="5">
        <v>3.75</v>
      </c>
      <c r="V146" s="4">
        <v>3</v>
      </c>
      <c r="W146" s="4">
        <v>5</v>
      </c>
      <c r="X146" s="2">
        <v>43771</v>
      </c>
      <c r="Y146" s="4">
        <v>0</v>
      </c>
      <c r="Z146" s="4">
        <v>2</v>
      </c>
    </row>
    <row r="147" spans="1:26" x14ac:dyDescent="0.4">
      <c r="A147" t="s">
        <v>277</v>
      </c>
      <c r="B147" s="4">
        <v>10036</v>
      </c>
      <c r="C147" s="1">
        <v>63322</v>
      </c>
      <c r="D147" t="s">
        <v>32</v>
      </c>
      <c r="E147" t="s">
        <v>10</v>
      </c>
      <c r="F147" s="4">
        <v>2128</v>
      </c>
      <c r="G147" s="2">
        <v>25454</v>
      </c>
      <c r="H147" t="s">
        <v>9</v>
      </c>
      <c r="I147" t="s">
        <v>17</v>
      </c>
      <c r="J147" t="s">
        <v>16</v>
      </c>
      <c r="K147" s="2">
        <v>40874</v>
      </c>
      <c r="L147" s="3">
        <f>DATEDIF(HR_Data[[#This Row],[DOB]],HR_Data[[#This Row],[Date of Hire]],"Y")</f>
        <v>42</v>
      </c>
      <c r="N147" s="4" t="str">
        <f>IFERROR(DATEDIF(HR_Data[[#This Row],[Date of Hire]],HR_Data[[#This Row],[Date of Termination]],"Y"),"")</f>
        <v/>
      </c>
      <c r="O147" t="s">
        <v>6</v>
      </c>
      <c r="P147" t="s">
        <v>5</v>
      </c>
      <c r="Q147" t="s">
        <v>4</v>
      </c>
      <c r="R147" t="s">
        <v>26</v>
      </c>
      <c r="S147" t="s">
        <v>2</v>
      </c>
      <c r="T147" t="s">
        <v>20</v>
      </c>
      <c r="U147" s="5">
        <v>4.3</v>
      </c>
      <c r="V147" s="4">
        <v>3</v>
      </c>
      <c r="W147" s="4">
        <v>0</v>
      </c>
      <c r="X147" s="2">
        <v>43770</v>
      </c>
      <c r="Y147" s="4">
        <v>0</v>
      </c>
      <c r="Z147" s="4">
        <v>1</v>
      </c>
    </row>
    <row r="148" spans="1:26" x14ac:dyDescent="0.4">
      <c r="A148" t="s">
        <v>276</v>
      </c>
      <c r="B148" s="4">
        <v>10138</v>
      </c>
      <c r="C148" s="1">
        <v>61154</v>
      </c>
      <c r="D148" t="s">
        <v>11</v>
      </c>
      <c r="E148" t="s">
        <v>10</v>
      </c>
      <c r="F148" s="4">
        <v>2446</v>
      </c>
      <c r="G148" s="2">
        <v>31519</v>
      </c>
      <c r="H148" t="s">
        <v>9</v>
      </c>
      <c r="I148" t="s">
        <v>47</v>
      </c>
      <c r="J148" t="s">
        <v>40</v>
      </c>
      <c r="K148" s="2">
        <v>40875</v>
      </c>
      <c r="L148" s="3">
        <f>DATEDIF(HR_Data[[#This Row],[DOB]],HR_Data[[#This Row],[Date of Hire]],"Y")</f>
        <v>25</v>
      </c>
      <c r="M148" s="2">
        <v>42461</v>
      </c>
      <c r="N148" s="4">
        <f>IFERROR(DATEDIF(HR_Data[[#This Row],[Date of Hire]],HR_Data[[#This Row],[Date of Termination]],"Y"),"")</f>
        <v>4</v>
      </c>
      <c r="O148" t="s">
        <v>46</v>
      </c>
      <c r="P148" t="s">
        <v>27</v>
      </c>
      <c r="Q148" t="s">
        <v>4</v>
      </c>
      <c r="R148" t="s">
        <v>61</v>
      </c>
      <c r="S148" t="s">
        <v>60</v>
      </c>
      <c r="T148" t="s">
        <v>1</v>
      </c>
      <c r="U148" s="5">
        <v>4</v>
      </c>
      <c r="V148" s="4">
        <v>4</v>
      </c>
      <c r="W148" s="4">
        <v>0</v>
      </c>
      <c r="X148" s="2">
        <v>42431</v>
      </c>
      <c r="Y148" s="4">
        <v>0</v>
      </c>
      <c r="Z148" s="4">
        <v>4</v>
      </c>
    </row>
    <row r="149" spans="1:26" x14ac:dyDescent="0.4">
      <c r="A149" t="s">
        <v>275</v>
      </c>
      <c r="B149" s="4">
        <v>10244</v>
      </c>
      <c r="C149" s="1">
        <v>68999</v>
      </c>
      <c r="D149" t="s">
        <v>138</v>
      </c>
      <c r="E149" t="s">
        <v>274</v>
      </c>
      <c r="F149" s="4">
        <v>19444</v>
      </c>
      <c r="G149" s="2">
        <v>32823</v>
      </c>
      <c r="H149" t="s">
        <v>9</v>
      </c>
      <c r="I149" t="s">
        <v>17</v>
      </c>
      <c r="J149" t="s">
        <v>16</v>
      </c>
      <c r="K149" s="2">
        <v>40876</v>
      </c>
      <c r="L149" s="3">
        <f>DATEDIF(HR_Data[[#This Row],[DOB]],HR_Data[[#This Row],[Date of Hire]],"Y")</f>
        <v>22</v>
      </c>
      <c r="M149" s="2">
        <v>41753</v>
      </c>
      <c r="N149" s="4">
        <f>IFERROR(DATEDIF(HR_Data[[#This Row],[Date of Hire]],HR_Data[[#This Row],[Date of Termination]],"Y"),"")</f>
        <v>2</v>
      </c>
      <c r="O149" t="s">
        <v>82</v>
      </c>
      <c r="P149" t="s">
        <v>27</v>
      </c>
      <c r="Q149" t="s">
        <v>77</v>
      </c>
      <c r="R149" t="s">
        <v>137</v>
      </c>
      <c r="S149" t="s">
        <v>25</v>
      </c>
      <c r="T149" t="s">
        <v>1</v>
      </c>
      <c r="U149" s="5">
        <v>4.5</v>
      </c>
      <c r="V149" s="4">
        <v>5</v>
      </c>
      <c r="W149" s="4">
        <v>0</v>
      </c>
      <c r="X149" s="2">
        <v>41363</v>
      </c>
      <c r="Y149" s="4">
        <v>0</v>
      </c>
      <c r="Z149" s="4">
        <v>2</v>
      </c>
    </row>
    <row r="150" spans="1:26" x14ac:dyDescent="0.4">
      <c r="A150" t="s">
        <v>273</v>
      </c>
      <c r="B150" s="4">
        <v>10192</v>
      </c>
      <c r="C150" s="1">
        <v>50482</v>
      </c>
      <c r="D150" t="s">
        <v>11</v>
      </c>
      <c r="E150" t="s">
        <v>10</v>
      </c>
      <c r="F150" s="4">
        <v>1887</v>
      </c>
      <c r="G150" s="2">
        <v>27778</v>
      </c>
      <c r="H150" t="s">
        <v>31</v>
      </c>
      <c r="I150" t="s">
        <v>17</v>
      </c>
      <c r="J150" t="s">
        <v>16</v>
      </c>
      <c r="K150" s="2">
        <v>40877</v>
      </c>
      <c r="L150" s="3">
        <f>DATEDIF(HR_Data[[#This Row],[DOB]],HR_Data[[#This Row],[Date of Hire]],"Y")</f>
        <v>35</v>
      </c>
      <c r="N150" s="4" t="str">
        <f>IFERROR(DATEDIF(HR_Data[[#This Row],[Date of Hire]],HR_Data[[#This Row],[Date of Termination]],"Y"),"")</f>
        <v/>
      </c>
      <c r="O150" t="s">
        <v>6</v>
      </c>
      <c r="P150" t="s">
        <v>5</v>
      </c>
      <c r="Q150" t="s">
        <v>4</v>
      </c>
      <c r="R150" t="s">
        <v>67</v>
      </c>
      <c r="S150" t="s">
        <v>55</v>
      </c>
      <c r="T150" t="s">
        <v>1</v>
      </c>
      <c r="U150" s="5">
        <v>3.07</v>
      </c>
      <c r="V150" s="4">
        <v>4</v>
      </c>
      <c r="W150" s="4">
        <v>0</v>
      </c>
      <c r="X150" s="2">
        <v>43488</v>
      </c>
      <c r="Y150" s="4">
        <v>0</v>
      </c>
      <c r="Z150" s="4">
        <v>10</v>
      </c>
    </row>
    <row r="151" spans="1:26" x14ac:dyDescent="0.4">
      <c r="A151" t="s">
        <v>272</v>
      </c>
      <c r="B151" s="4">
        <v>10231</v>
      </c>
      <c r="C151" s="1">
        <v>65310</v>
      </c>
      <c r="D151" t="s">
        <v>79</v>
      </c>
      <c r="E151" t="s">
        <v>271</v>
      </c>
      <c r="F151" s="4">
        <v>80820</v>
      </c>
      <c r="G151" s="2">
        <v>29186</v>
      </c>
      <c r="H151" t="s">
        <v>31</v>
      </c>
      <c r="I151" t="s">
        <v>17</v>
      </c>
      <c r="J151" t="s">
        <v>16</v>
      </c>
      <c r="K151" s="2">
        <v>40878</v>
      </c>
      <c r="L151" s="3">
        <f>DATEDIF(HR_Data[[#This Row],[DOB]],HR_Data[[#This Row],[Date of Hire]],"Y")</f>
        <v>32</v>
      </c>
      <c r="N151" s="4" t="str">
        <f>IFERROR(DATEDIF(HR_Data[[#This Row],[Date of Hire]],HR_Data[[#This Row],[Date of Termination]],"Y"),"")</f>
        <v/>
      </c>
      <c r="O151" t="s">
        <v>6</v>
      </c>
      <c r="P151" t="s">
        <v>5</v>
      </c>
      <c r="Q151" t="s">
        <v>77</v>
      </c>
      <c r="R151" t="s">
        <v>97</v>
      </c>
      <c r="S151" t="s">
        <v>55</v>
      </c>
      <c r="T151" t="s">
        <v>1</v>
      </c>
      <c r="U151" s="5">
        <v>4.3</v>
      </c>
      <c r="V151" s="4">
        <v>5</v>
      </c>
      <c r="W151" s="4">
        <v>0</v>
      </c>
      <c r="X151" s="2">
        <v>43487</v>
      </c>
      <c r="Y151" s="4">
        <v>0</v>
      </c>
      <c r="Z151" s="4">
        <v>13</v>
      </c>
    </row>
    <row r="152" spans="1:26" x14ac:dyDescent="0.4">
      <c r="A152" t="s">
        <v>270</v>
      </c>
      <c r="B152" s="4">
        <v>10089</v>
      </c>
      <c r="C152" s="1">
        <v>250000</v>
      </c>
      <c r="D152" t="s">
        <v>269</v>
      </c>
      <c r="E152" t="s">
        <v>10</v>
      </c>
      <c r="F152" s="4">
        <v>1902</v>
      </c>
      <c r="G152" s="2">
        <v>19988</v>
      </c>
      <c r="H152" t="s">
        <v>9</v>
      </c>
      <c r="I152" t="s">
        <v>47</v>
      </c>
      <c r="J152" t="s">
        <v>16</v>
      </c>
      <c r="K152" s="2">
        <v>40879</v>
      </c>
      <c r="L152" s="3">
        <f>DATEDIF(HR_Data[[#This Row],[DOB]],HR_Data[[#This Row],[Date of Hire]],"Y")</f>
        <v>57</v>
      </c>
      <c r="N152" s="4" t="str">
        <f>IFERROR(DATEDIF(HR_Data[[#This Row],[Date of Hire]],HR_Data[[#This Row],[Date of Termination]],"Y"),"")</f>
        <v/>
      </c>
      <c r="O152" t="s">
        <v>6</v>
      </c>
      <c r="P152" t="s">
        <v>5</v>
      </c>
      <c r="Q152" t="s">
        <v>268</v>
      </c>
      <c r="R152" t="s">
        <v>267</v>
      </c>
      <c r="S152" t="s">
        <v>55</v>
      </c>
      <c r="T152" t="s">
        <v>1</v>
      </c>
      <c r="U152" s="5">
        <v>4.83</v>
      </c>
      <c r="V152" s="4">
        <v>3</v>
      </c>
      <c r="W152" s="4">
        <v>0</v>
      </c>
      <c r="X152" s="2">
        <v>43482</v>
      </c>
      <c r="Y152" s="4">
        <v>0</v>
      </c>
      <c r="Z152" s="4">
        <v>10</v>
      </c>
    </row>
    <row r="153" spans="1:26" x14ac:dyDescent="0.4">
      <c r="A153" t="s">
        <v>266</v>
      </c>
      <c r="B153" s="4">
        <v>10166</v>
      </c>
      <c r="C153" s="1">
        <v>54005</v>
      </c>
      <c r="D153" t="s">
        <v>11</v>
      </c>
      <c r="E153" t="s">
        <v>10</v>
      </c>
      <c r="F153" s="4">
        <v>2170</v>
      </c>
      <c r="G153" s="2">
        <v>27006</v>
      </c>
      <c r="H153" t="s">
        <v>9</v>
      </c>
      <c r="I153" t="s">
        <v>47</v>
      </c>
      <c r="J153" t="s">
        <v>16</v>
      </c>
      <c r="K153" s="2">
        <v>40880</v>
      </c>
      <c r="L153" s="3">
        <f>DATEDIF(HR_Data[[#This Row],[DOB]],HR_Data[[#This Row],[Date of Hire]],"Y")</f>
        <v>37</v>
      </c>
      <c r="M153" s="2">
        <v>42159</v>
      </c>
      <c r="N153" s="4">
        <f>IFERROR(DATEDIF(HR_Data[[#This Row],[Date of Hire]],HR_Data[[#This Row],[Date of Termination]],"Y"),"")</f>
        <v>3</v>
      </c>
      <c r="O153" t="s">
        <v>175</v>
      </c>
      <c r="P153" t="s">
        <v>27</v>
      </c>
      <c r="Q153" t="s">
        <v>4</v>
      </c>
      <c r="R153" t="s">
        <v>49</v>
      </c>
      <c r="S153" t="s">
        <v>25</v>
      </c>
      <c r="T153" t="s">
        <v>1</v>
      </c>
      <c r="U153" s="5">
        <v>3.6</v>
      </c>
      <c r="V153" s="4">
        <v>5</v>
      </c>
      <c r="W153" s="4">
        <v>0</v>
      </c>
      <c r="X153" s="2">
        <v>42007</v>
      </c>
      <c r="Y153" s="4">
        <v>0</v>
      </c>
      <c r="Z153" s="4">
        <v>16</v>
      </c>
    </row>
    <row r="154" spans="1:26" x14ac:dyDescent="0.4">
      <c r="A154" t="s">
        <v>265</v>
      </c>
      <c r="B154" s="4">
        <v>10170</v>
      </c>
      <c r="C154" s="1">
        <v>45433</v>
      </c>
      <c r="D154" t="s">
        <v>11</v>
      </c>
      <c r="E154" t="s">
        <v>10</v>
      </c>
      <c r="F154" s="4">
        <v>2127</v>
      </c>
      <c r="G154" s="2">
        <v>25849</v>
      </c>
      <c r="H154" t="s">
        <v>9</v>
      </c>
      <c r="I154" t="s">
        <v>47</v>
      </c>
      <c r="J154" t="s">
        <v>16</v>
      </c>
      <c r="K154" s="2">
        <v>40881</v>
      </c>
      <c r="L154" s="3">
        <f>DATEDIF(HR_Data[[#This Row],[DOB]],HR_Data[[#This Row],[Date of Hire]],"Y")</f>
        <v>41</v>
      </c>
      <c r="M154" s="2">
        <v>41648</v>
      </c>
      <c r="N154" s="4">
        <f>IFERROR(DATEDIF(HR_Data[[#This Row],[Date of Hire]],HR_Data[[#This Row],[Date of Termination]],"Y"),"")</f>
        <v>2</v>
      </c>
      <c r="O154" t="s">
        <v>175</v>
      </c>
      <c r="P154" t="s">
        <v>27</v>
      </c>
      <c r="Q154" t="s">
        <v>4</v>
      </c>
      <c r="R154" t="s">
        <v>45</v>
      </c>
      <c r="S154" t="s">
        <v>25</v>
      </c>
      <c r="T154" t="s">
        <v>1</v>
      </c>
      <c r="U154" s="5">
        <v>3.49</v>
      </c>
      <c r="V154" s="4">
        <v>4</v>
      </c>
      <c r="W154" s="4">
        <v>0</v>
      </c>
      <c r="X154" s="2">
        <v>41304</v>
      </c>
      <c r="Y154" s="4">
        <v>0</v>
      </c>
      <c r="Z154" s="4">
        <v>6</v>
      </c>
    </row>
    <row r="155" spans="1:26" x14ac:dyDescent="0.4">
      <c r="A155" t="s">
        <v>264</v>
      </c>
      <c r="B155" s="4">
        <v>10208</v>
      </c>
      <c r="C155" s="1">
        <v>46654</v>
      </c>
      <c r="D155" t="s">
        <v>11</v>
      </c>
      <c r="E155" t="s">
        <v>10</v>
      </c>
      <c r="F155" s="4">
        <v>1721</v>
      </c>
      <c r="G155" s="2">
        <v>28439</v>
      </c>
      <c r="H155" t="s">
        <v>31</v>
      </c>
      <c r="I155" t="s">
        <v>17</v>
      </c>
      <c r="J155" t="s">
        <v>40</v>
      </c>
      <c r="K155" s="2">
        <v>40882</v>
      </c>
      <c r="L155" s="3">
        <f>DATEDIF(HR_Data[[#This Row],[DOB]],HR_Data[[#This Row],[Date of Hire]],"Y")</f>
        <v>34</v>
      </c>
      <c r="N155" s="4" t="str">
        <f>IFERROR(DATEDIF(HR_Data[[#This Row],[Date of Hire]],HR_Data[[#This Row],[Date of Termination]],"Y"),"")</f>
        <v/>
      </c>
      <c r="O155" t="s">
        <v>6</v>
      </c>
      <c r="P155" t="s">
        <v>5</v>
      </c>
      <c r="Q155" t="s">
        <v>4</v>
      </c>
      <c r="R155" t="s">
        <v>38</v>
      </c>
      <c r="S155" t="s">
        <v>2</v>
      </c>
      <c r="T155" t="s">
        <v>1</v>
      </c>
      <c r="U155" s="5">
        <v>3.1</v>
      </c>
      <c r="V155" s="4">
        <v>3</v>
      </c>
      <c r="W155" s="4">
        <v>0</v>
      </c>
      <c r="X155" s="2">
        <v>43618</v>
      </c>
      <c r="Y155" s="4">
        <v>0</v>
      </c>
      <c r="Z155" s="4">
        <v>3</v>
      </c>
    </row>
    <row r="156" spans="1:26" x14ac:dyDescent="0.4">
      <c r="A156" t="s">
        <v>263</v>
      </c>
      <c r="B156" s="4">
        <v>10176</v>
      </c>
      <c r="C156" s="1">
        <v>63973</v>
      </c>
      <c r="D156" t="s">
        <v>11</v>
      </c>
      <c r="E156" t="s">
        <v>10</v>
      </c>
      <c r="F156" s="4">
        <v>1801</v>
      </c>
      <c r="G156" s="2">
        <v>29253</v>
      </c>
      <c r="H156" t="s">
        <v>31</v>
      </c>
      <c r="I156" t="s">
        <v>47</v>
      </c>
      <c r="J156" t="s">
        <v>7</v>
      </c>
      <c r="K156" s="2">
        <v>40883</v>
      </c>
      <c r="L156" s="3">
        <f>DATEDIF(HR_Data[[#This Row],[DOB]],HR_Data[[#This Row],[Date of Hire]],"Y")</f>
        <v>31</v>
      </c>
      <c r="N156" s="4" t="str">
        <f>IFERROR(DATEDIF(HR_Data[[#This Row],[Date of Hire]],HR_Data[[#This Row],[Date of Termination]],"Y"),"")</f>
        <v/>
      </c>
      <c r="O156" t="s">
        <v>6</v>
      </c>
      <c r="P156" t="s">
        <v>5</v>
      </c>
      <c r="Q156" t="s">
        <v>4</v>
      </c>
      <c r="R156" t="s">
        <v>26</v>
      </c>
      <c r="S156" t="s">
        <v>55</v>
      </c>
      <c r="T156" t="s">
        <v>1</v>
      </c>
      <c r="U156" s="5">
        <v>3.38</v>
      </c>
      <c r="V156" s="4">
        <v>3</v>
      </c>
      <c r="W156" s="4">
        <v>0</v>
      </c>
      <c r="X156" s="2">
        <v>43486</v>
      </c>
      <c r="Y156" s="4">
        <v>0</v>
      </c>
      <c r="Z156" s="4">
        <v>17</v>
      </c>
    </row>
    <row r="157" spans="1:26" x14ac:dyDescent="0.4">
      <c r="A157" t="s">
        <v>262</v>
      </c>
      <c r="B157" s="4">
        <v>10165</v>
      </c>
      <c r="C157" s="1">
        <v>71339</v>
      </c>
      <c r="D157" t="s">
        <v>79</v>
      </c>
      <c r="E157" t="s">
        <v>261</v>
      </c>
      <c r="F157" s="4">
        <v>10171</v>
      </c>
      <c r="G157" s="2">
        <v>25258</v>
      </c>
      <c r="H157" t="s">
        <v>31</v>
      </c>
      <c r="I157" t="s">
        <v>17</v>
      </c>
      <c r="J157" t="s">
        <v>40</v>
      </c>
      <c r="K157" s="2">
        <v>40884</v>
      </c>
      <c r="L157" s="3">
        <f>DATEDIF(HR_Data[[#This Row],[DOB]],HR_Data[[#This Row],[Date of Hire]],"Y")</f>
        <v>42</v>
      </c>
      <c r="N157" s="4" t="str">
        <f>IFERROR(DATEDIF(HR_Data[[#This Row],[Date of Hire]],HR_Data[[#This Row],[Date of Termination]],"Y"),"")</f>
        <v/>
      </c>
      <c r="O157" t="s">
        <v>6</v>
      </c>
      <c r="P157" t="s">
        <v>5</v>
      </c>
      <c r="Q157" t="s">
        <v>77</v>
      </c>
      <c r="R157" t="s">
        <v>76</v>
      </c>
      <c r="S157" t="s">
        <v>37</v>
      </c>
      <c r="T157" t="s">
        <v>1</v>
      </c>
      <c r="U157" s="5">
        <v>3.65</v>
      </c>
      <c r="V157" s="4">
        <v>5</v>
      </c>
      <c r="W157" s="4">
        <v>0</v>
      </c>
      <c r="X157" s="2">
        <v>43482</v>
      </c>
      <c r="Y157" s="4">
        <v>0</v>
      </c>
      <c r="Z157" s="4">
        <v>20</v>
      </c>
    </row>
    <row r="158" spans="1:26" x14ac:dyDescent="0.4">
      <c r="A158" t="s">
        <v>260</v>
      </c>
      <c r="B158" s="4">
        <v>10113</v>
      </c>
      <c r="C158" s="1">
        <v>93206</v>
      </c>
      <c r="D158" t="s">
        <v>53</v>
      </c>
      <c r="E158" t="s">
        <v>10</v>
      </c>
      <c r="F158" s="4">
        <v>2169</v>
      </c>
      <c r="G158" s="2">
        <v>31525</v>
      </c>
      <c r="H158" t="s">
        <v>31</v>
      </c>
      <c r="I158" t="s">
        <v>47</v>
      </c>
      <c r="J158" t="s">
        <v>16</v>
      </c>
      <c r="K158" s="2">
        <v>40885</v>
      </c>
      <c r="L158" s="3">
        <f>DATEDIF(HR_Data[[#This Row],[DOB]],HR_Data[[#This Row],[Date of Hire]],"Y")</f>
        <v>25</v>
      </c>
      <c r="N158" s="4" t="str">
        <f>IFERROR(DATEDIF(HR_Data[[#This Row],[Date of Hire]],HR_Data[[#This Row],[Date of Termination]],"Y"),"")</f>
        <v/>
      </c>
      <c r="O158" t="s">
        <v>6</v>
      </c>
      <c r="P158" t="s">
        <v>5</v>
      </c>
      <c r="Q158" t="s">
        <v>15</v>
      </c>
      <c r="R158" t="s">
        <v>52</v>
      </c>
      <c r="S158" t="s">
        <v>13</v>
      </c>
      <c r="T158" t="s">
        <v>1</v>
      </c>
      <c r="U158" s="5">
        <v>4.46</v>
      </c>
      <c r="V158" s="4">
        <v>5</v>
      </c>
      <c r="W158" s="4">
        <v>6</v>
      </c>
      <c r="X158" s="2">
        <v>43647</v>
      </c>
      <c r="Y158" s="4">
        <v>0</v>
      </c>
      <c r="Z158" s="4">
        <v>7</v>
      </c>
    </row>
    <row r="159" spans="1:26" x14ac:dyDescent="0.4">
      <c r="A159" t="s">
        <v>259</v>
      </c>
      <c r="B159" s="4">
        <v>10092</v>
      </c>
      <c r="C159" s="1">
        <v>82758</v>
      </c>
      <c r="D159" t="s">
        <v>64</v>
      </c>
      <c r="E159" t="s">
        <v>10</v>
      </c>
      <c r="F159" s="4">
        <v>1890</v>
      </c>
      <c r="G159" s="2">
        <v>26481</v>
      </c>
      <c r="H159" t="s">
        <v>31</v>
      </c>
      <c r="I159" t="s">
        <v>47</v>
      </c>
      <c r="J159" t="s">
        <v>16</v>
      </c>
      <c r="K159" s="2">
        <v>40886</v>
      </c>
      <c r="L159" s="3">
        <f>DATEDIF(HR_Data[[#This Row],[DOB]],HR_Data[[#This Row],[Date of Hire]],"Y")</f>
        <v>39</v>
      </c>
      <c r="M159" s="2">
        <v>42350</v>
      </c>
      <c r="N159" s="4">
        <f>IFERROR(DATEDIF(HR_Data[[#This Row],[Date of Hire]],HR_Data[[#This Row],[Date of Termination]],"Y"),"")</f>
        <v>4</v>
      </c>
      <c r="O159" t="s">
        <v>166</v>
      </c>
      <c r="P159" t="s">
        <v>70</v>
      </c>
      <c r="Q159" t="s">
        <v>4</v>
      </c>
      <c r="R159" t="s">
        <v>21</v>
      </c>
      <c r="S159" t="s">
        <v>13</v>
      </c>
      <c r="T159" t="s">
        <v>1</v>
      </c>
      <c r="U159" s="5">
        <v>4.78</v>
      </c>
      <c r="V159" s="4">
        <v>4</v>
      </c>
      <c r="W159" s="4">
        <v>0</v>
      </c>
      <c r="X159" s="2">
        <v>42050</v>
      </c>
      <c r="Y159" s="4">
        <v>0</v>
      </c>
      <c r="Z159" s="4">
        <v>9</v>
      </c>
    </row>
    <row r="160" spans="1:26" x14ac:dyDescent="0.4">
      <c r="A160" t="s">
        <v>258</v>
      </c>
      <c r="B160" s="4">
        <v>10106</v>
      </c>
      <c r="C160" s="1">
        <v>66074</v>
      </c>
      <c r="D160" t="s">
        <v>32</v>
      </c>
      <c r="E160" t="s">
        <v>10</v>
      </c>
      <c r="F160" s="4">
        <v>2090</v>
      </c>
      <c r="G160" s="2">
        <v>29061</v>
      </c>
      <c r="H160" t="s">
        <v>9</v>
      </c>
      <c r="I160" t="s">
        <v>42</v>
      </c>
      <c r="J160" t="s">
        <v>7</v>
      </c>
      <c r="K160" s="2">
        <v>40887</v>
      </c>
      <c r="L160" s="3">
        <f>DATEDIF(HR_Data[[#This Row],[DOB]],HR_Data[[#This Row],[Date of Hire]],"Y")</f>
        <v>32</v>
      </c>
      <c r="M160" s="2">
        <v>41729</v>
      </c>
      <c r="N160" s="4">
        <f>IFERROR(DATEDIF(HR_Data[[#This Row],[Date of Hire]],HR_Data[[#This Row],[Date of Termination]],"Y"),"")</f>
        <v>2</v>
      </c>
      <c r="O160" t="s">
        <v>28</v>
      </c>
      <c r="P160" t="s">
        <v>27</v>
      </c>
      <c r="Q160" t="s">
        <v>4</v>
      </c>
      <c r="R160" t="s">
        <v>3</v>
      </c>
      <c r="S160" t="s">
        <v>55</v>
      </c>
      <c r="T160" t="s">
        <v>1</v>
      </c>
      <c r="U160" s="5">
        <v>4.5199999999999996</v>
      </c>
      <c r="V160" s="4">
        <v>3</v>
      </c>
      <c r="W160" s="4">
        <v>0</v>
      </c>
      <c r="X160" s="2">
        <v>41690</v>
      </c>
      <c r="Y160" s="4">
        <v>0</v>
      </c>
      <c r="Z160" s="4">
        <v>20</v>
      </c>
    </row>
    <row r="161" spans="1:26" x14ac:dyDescent="0.4">
      <c r="A161" t="s">
        <v>257</v>
      </c>
      <c r="B161" s="4">
        <v>10052</v>
      </c>
      <c r="C161" s="1">
        <v>46120</v>
      </c>
      <c r="D161" t="s">
        <v>11</v>
      </c>
      <c r="E161" t="s">
        <v>10</v>
      </c>
      <c r="F161" s="4">
        <v>2048</v>
      </c>
      <c r="G161" s="2">
        <v>31755</v>
      </c>
      <c r="H161" t="s">
        <v>31</v>
      </c>
      <c r="I161" t="s">
        <v>47</v>
      </c>
      <c r="J161" t="s">
        <v>16</v>
      </c>
      <c r="K161" s="2">
        <v>40888</v>
      </c>
      <c r="L161" s="3">
        <f>DATEDIF(HR_Data[[#This Row],[DOB]],HR_Data[[#This Row],[Date of Hire]],"Y")</f>
        <v>25</v>
      </c>
      <c r="N161" s="4" t="str">
        <f>IFERROR(DATEDIF(HR_Data[[#This Row],[Date of Hire]],HR_Data[[#This Row],[Date of Termination]],"Y"),"")</f>
        <v/>
      </c>
      <c r="O161" t="s">
        <v>6</v>
      </c>
      <c r="P161" t="s">
        <v>5</v>
      </c>
      <c r="Q161" t="s">
        <v>4</v>
      </c>
      <c r="R161" t="s">
        <v>3</v>
      </c>
      <c r="S161" t="s">
        <v>2</v>
      </c>
      <c r="T161" t="s">
        <v>1</v>
      </c>
      <c r="U161" s="5">
        <v>5</v>
      </c>
      <c r="V161" s="4">
        <v>5</v>
      </c>
      <c r="W161" s="4">
        <v>0</v>
      </c>
      <c r="X161" s="2">
        <v>43557</v>
      </c>
      <c r="Y161" s="4">
        <v>0</v>
      </c>
      <c r="Z161" s="4">
        <v>13</v>
      </c>
    </row>
    <row r="162" spans="1:26" x14ac:dyDescent="0.4">
      <c r="A162" t="s">
        <v>256</v>
      </c>
      <c r="B162" s="4">
        <v>10038</v>
      </c>
      <c r="C162" s="1">
        <v>64520</v>
      </c>
      <c r="D162" t="s">
        <v>122</v>
      </c>
      <c r="E162" t="s">
        <v>10</v>
      </c>
      <c r="F162" s="4">
        <v>1460</v>
      </c>
      <c r="G162" s="2">
        <v>30798</v>
      </c>
      <c r="H162" t="s">
        <v>31</v>
      </c>
      <c r="I162" t="s">
        <v>42</v>
      </c>
      <c r="J162" t="s">
        <v>40</v>
      </c>
      <c r="K162" s="2">
        <v>40889</v>
      </c>
      <c r="L162" s="3">
        <f>DATEDIF(HR_Data[[#This Row],[DOB]],HR_Data[[#This Row],[Date of Hire]],"Y")</f>
        <v>27</v>
      </c>
      <c r="N162" s="4" t="str">
        <f>IFERROR(DATEDIF(HR_Data[[#This Row],[Date of Hire]],HR_Data[[#This Row],[Date of Termination]],"Y"),"")</f>
        <v/>
      </c>
      <c r="O162" t="s">
        <v>6</v>
      </c>
      <c r="P162" t="s">
        <v>5</v>
      </c>
      <c r="Q162" t="s">
        <v>121</v>
      </c>
      <c r="R162" t="s">
        <v>120</v>
      </c>
      <c r="S162" t="s">
        <v>44</v>
      </c>
      <c r="T162" t="s">
        <v>1</v>
      </c>
      <c r="U162" s="5">
        <v>5</v>
      </c>
      <c r="V162" s="4">
        <v>4</v>
      </c>
      <c r="W162" s="4">
        <v>4</v>
      </c>
      <c r="X162" s="2">
        <v>43482</v>
      </c>
      <c r="Y162" s="4">
        <v>0</v>
      </c>
      <c r="Z162" s="4">
        <v>3</v>
      </c>
    </row>
    <row r="163" spans="1:26" x14ac:dyDescent="0.4">
      <c r="A163" t="s">
        <v>255</v>
      </c>
      <c r="B163" s="4">
        <v>10249</v>
      </c>
      <c r="C163" s="1">
        <v>61962</v>
      </c>
      <c r="D163" t="s">
        <v>32</v>
      </c>
      <c r="E163" t="s">
        <v>10</v>
      </c>
      <c r="F163" s="4">
        <v>2126</v>
      </c>
      <c r="G163" s="2">
        <v>30811</v>
      </c>
      <c r="H163" t="s">
        <v>31</v>
      </c>
      <c r="I163" t="s">
        <v>47</v>
      </c>
      <c r="J163" t="s">
        <v>16</v>
      </c>
      <c r="K163" s="2">
        <v>40890</v>
      </c>
      <c r="L163" s="3">
        <f>DATEDIF(HR_Data[[#This Row],[DOB]],HR_Data[[#This Row],[Date of Hire]],"Y")</f>
        <v>27</v>
      </c>
      <c r="M163" s="2">
        <v>41379</v>
      </c>
      <c r="N163" s="4">
        <f>IFERROR(DATEDIF(HR_Data[[#This Row],[Date of Hire]],HR_Data[[#This Row],[Date of Termination]],"Y"),"")</f>
        <v>1</v>
      </c>
      <c r="O163" t="s">
        <v>175</v>
      </c>
      <c r="P163" t="s">
        <v>27</v>
      </c>
      <c r="Q163" t="s">
        <v>4</v>
      </c>
      <c r="R163" t="s">
        <v>30</v>
      </c>
      <c r="S163" t="s">
        <v>25</v>
      </c>
      <c r="T163" t="s">
        <v>1</v>
      </c>
      <c r="U163" s="5">
        <v>4.9000000000000004</v>
      </c>
      <c r="V163" s="4">
        <v>3</v>
      </c>
      <c r="W163" s="4">
        <v>0</v>
      </c>
      <c r="X163" s="2">
        <v>41325</v>
      </c>
      <c r="Y163" s="4">
        <v>0</v>
      </c>
      <c r="Z163" s="4">
        <v>20</v>
      </c>
    </row>
    <row r="164" spans="1:26" x14ac:dyDescent="0.4">
      <c r="A164" t="s">
        <v>254</v>
      </c>
      <c r="B164" s="4">
        <v>10232</v>
      </c>
      <c r="C164" s="1">
        <v>81584</v>
      </c>
      <c r="D164" t="s">
        <v>57</v>
      </c>
      <c r="E164" t="s">
        <v>10</v>
      </c>
      <c r="F164" s="4">
        <v>1886</v>
      </c>
      <c r="G164" s="2">
        <v>31942</v>
      </c>
      <c r="H164" t="s">
        <v>9</v>
      </c>
      <c r="I164" t="s">
        <v>17</v>
      </c>
      <c r="J164" t="s">
        <v>7</v>
      </c>
      <c r="K164" s="2">
        <v>40891</v>
      </c>
      <c r="L164" s="3">
        <f>DATEDIF(HR_Data[[#This Row],[DOB]],HR_Data[[#This Row],[Date of Hire]],"Y")</f>
        <v>24</v>
      </c>
      <c r="N164" s="4" t="str">
        <f>IFERROR(DATEDIF(HR_Data[[#This Row],[Date of Hire]],HR_Data[[#This Row],[Date of Termination]],"Y"),"")</f>
        <v/>
      </c>
      <c r="O164" t="s">
        <v>6</v>
      </c>
      <c r="P164" t="s">
        <v>5</v>
      </c>
      <c r="Q164" t="s">
        <v>15</v>
      </c>
      <c r="R164" t="s">
        <v>56</v>
      </c>
      <c r="S164" t="s">
        <v>55</v>
      </c>
      <c r="T164" t="s">
        <v>1</v>
      </c>
      <c r="U164" s="5">
        <v>4.0999999999999996</v>
      </c>
      <c r="V164" s="4">
        <v>5</v>
      </c>
      <c r="W164" s="4">
        <v>7</v>
      </c>
      <c r="X164" s="2">
        <v>43678</v>
      </c>
      <c r="Y164" s="4">
        <v>0</v>
      </c>
      <c r="Z164" s="4">
        <v>2</v>
      </c>
    </row>
    <row r="165" spans="1:26" x14ac:dyDescent="0.4">
      <c r="A165" t="s">
        <v>253</v>
      </c>
      <c r="B165" s="4">
        <v>10087</v>
      </c>
      <c r="C165" s="1">
        <v>63676</v>
      </c>
      <c r="D165" t="s">
        <v>11</v>
      </c>
      <c r="E165" t="s">
        <v>10</v>
      </c>
      <c r="F165" s="4">
        <v>1810</v>
      </c>
      <c r="G165" s="2">
        <v>28872</v>
      </c>
      <c r="H165" t="s">
        <v>9</v>
      </c>
      <c r="I165" t="s">
        <v>17</v>
      </c>
      <c r="J165" t="s">
        <v>7</v>
      </c>
      <c r="K165" s="2">
        <v>40892</v>
      </c>
      <c r="L165" s="3">
        <f>DATEDIF(HR_Data[[#This Row],[DOB]],HR_Data[[#This Row],[Date of Hire]],"Y")</f>
        <v>32</v>
      </c>
      <c r="M165" s="2">
        <v>43331</v>
      </c>
      <c r="N165" s="4">
        <f>IFERROR(DATEDIF(HR_Data[[#This Row],[Date of Hire]],HR_Data[[#This Row],[Date of Termination]],"Y"),"")</f>
        <v>6</v>
      </c>
      <c r="O165" t="s">
        <v>105</v>
      </c>
      <c r="P165" t="s">
        <v>27</v>
      </c>
      <c r="Q165" t="s">
        <v>4</v>
      </c>
      <c r="R165" t="s">
        <v>30</v>
      </c>
      <c r="S165" t="s">
        <v>60</v>
      </c>
      <c r="T165" t="s">
        <v>1</v>
      </c>
      <c r="U165" s="5">
        <v>4.88</v>
      </c>
      <c r="V165" s="4">
        <v>3</v>
      </c>
      <c r="W165" s="4">
        <v>0</v>
      </c>
      <c r="X165" s="2">
        <v>42773</v>
      </c>
      <c r="Y165" s="4">
        <v>0</v>
      </c>
      <c r="Z165" s="4">
        <v>17</v>
      </c>
    </row>
    <row r="166" spans="1:26" x14ac:dyDescent="0.4">
      <c r="A166" t="s">
        <v>252</v>
      </c>
      <c r="B166" s="4">
        <v>10134</v>
      </c>
      <c r="C166" s="1">
        <v>93046</v>
      </c>
      <c r="D166" t="s">
        <v>251</v>
      </c>
      <c r="E166" t="s">
        <v>10</v>
      </c>
      <c r="F166" s="4">
        <v>1460</v>
      </c>
      <c r="G166" s="2">
        <v>30843</v>
      </c>
      <c r="H166" t="s">
        <v>31</v>
      </c>
      <c r="I166" t="s">
        <v>47</v>
      </c>
      <c r="J166" t="s">
        <v>16</v>
      </c>
      <c r="K166" s="2">
        <v>40893</v>
      </c>
      <c r="L166" s="3">
        <f>DATEDIF(HR_Data[[#This Row],[DOB]],HR_Data[[#This Row],[Date of Hire]],"Y")</f>
        <v>27</v>
      </c>
      <c r="N166" s="4" t="str">
        <f>IFERROR(DATEDIF(HR_Data[[#This Row],[Date of Hire]],HR_Data[[#This Row],[Date of Termination]],"Y"),"")</f>
        <v/>
      </c>
      <c r="O166" t="s">
        <v>6</v>
      </c>
      <c r="P166" t="s">
        <v>5</v>
      </c>
      <c r="Q166" t="s">
        <v>121</v>
      </c>
      <c r="R166" t="s">
        <v>21</v>
      </c>
      <c r="S166" t="s">
        <v>60</v>
      </c>
      <c r="T166" t="s">
        <v>1</v>
      </c>
      <c r="U166" s="5">
        <v>4.0999999999999996</v>
      </c>
      <c r="V166" s="4">
        <v>4</v>
      </c>
      <c r="W166" s="4">
        <v>0</v>
      </c>
      <c r="X166" s="2">
        <v>43493</v>
      </c>
      <c r="Y166" s="4">
        <v>0</v>
      </c>
      <c r="Z166" s="4">
        <v>20</v>
      </c>
    </row>
    <row r="167" spans="1:26" x14ac:dyDescent="0.4">
      <c r="A167" t="s">
        <v>250</v>
      </c>
      <c r="B167" s="4">
        <v>10251</v>
      </c>
      <c r="C167" s="1">
        <v>64738</v>
      </c>
      <c r="D167" t="s">
        <v>11</v>
      </c>
      <c r="E167" t="s">
        <v>10</v>
      </c>
      <c r="F167" s="4">
        <v>1776</v>
      </c>
      <c r="G167" s="2">
        <v>30196</v>
      </c>
      <c r="H167" t="s">
        <v>31</v>
      </c>
      <c r="I167" t="s">
        <v>47</v>
      </c>
      <c r="J167" t="s">
        <v>7</v>
      </c>
      <c r="K167" s="2">
        <v>40894</v>
      </c>
      <c r="L167" s="3">
        <f>DATEDIF(HR_Data[[#This Row],[DOB]],HR_Data[[#This Row],[Date of Hire]],"Y")</f>
        <v>29</v>
      </c>
      <c r="N167" s="4" t="str">
        <f>IFERROR(DATEDIF(HR_Data[[#This Row],[Date of Hire]],HR_Data[[#This Row],[Date of Termination]],"Y"),"")</f>
        <v/>
      </c>
      <c r="O167" t="s">
        <v>6</v>
      </c>
      <c r="P167" t="s">
        <v>5</v>
      </c>
      <c r="Q167" t="s">
        <v>4</v>
      </c>
      <c r="R167" t="s">
        <v>61</v>
      </c>
      <c r="S167" t="s">
        <v>25</v>
      </c>
      <c r="T167" t="s">
        <v>1</v>
      </c>
      <c r="U167" s="5">
        <v>4.0999999999999996</v>
      </c>
      <c r="V167" s="4">
        <v>3</v>
      </c>
      <c r="W167" s="4">
        <v>0</v>
      </c>
      <c r="X167" s="2">
        <v>43518</v>
      </c>
      <c r="Y167" s="4">
        <v>0</v>
      </c>
      <c r="Z167" s="4">
        <v>10</v>
      </c>
    </row>
    <row r="168" spans="1:26" x14ac:dyDescent="0.4">
      <c r="A168" t="s">
        <v>249</v>
      </c>
      <c r="B168" s="4">
        <v>10103</v>
      </c>
      <c r="C168" s="1">
        <v>70468</v>
      </c>
      <c r="D168" t="s">
        <v>79</v>
      </c>
      <c r="E168" t="s">
        <v>248</v>
      </c>
      <c r="F168" s="4">
        <v>84111</v>
      </c>
      <c r="G168" s="2">
        <v>32504</v>
      </c>
      <c r="H168" t="s">
        <v>31</v>
      </c>
      <c r="I168" t="s">
        <v>98</v>
      </c>
      <c r="J168" t="s">
        <v>40</v>
      </c>
      <c r="K168" s="2">
        <v>40895</v>
      </c>
      <c r="L168" s="3">
        <f>DATEDIF(HR_Data[[#This Row],[DOB]],HR_Data[[#This Row],[Date of Hire]],"Y")</f>
        <v>22</v>
      </c>
      <c r="N168" s="4" t="str">
        <f>IFERROR(DATEDIF(HR_Data[[#This Row],[Date of Hire]],HR_Data[[#This Row],[Date of Termination]],"Y"),"")</f>
        <v/>
      </c>
      <c r="O168" t="s">
        <v>6</v>
      </c>
      <c r="P168" t="s">
        <v>5</v>
      </c>
      <c r="Q168" t="s">
        <v>77</v>
      </c>
      <c r="R168" t="s">
        <v>76</v>
      </c>
      <c r="S168" t="s">
        <v>44</v>
      </c>
      <c r="T168" t="s">
        <v>1</v>
      </c>
      <c r="U168" s="5">
        <v>4.53</v>
      </c>
      <c r="V168" s="4">
        <v>3</v>
      </c>
      <c r="W168" s="4">
        <v>0</v>
      </c>
      <c r="X168" s="2">
        <v>43494</v>
      </c>
      <c r="Y168" s="4">
        <v>0</v>
      </c>
      <c r="Z168" s="4">
        <v>16</v>
      </c>
    </row>
    <row r="169" spans="1:26" x14ac:dyDescent="0.4">
      <c r="A169" t="s">
        <v>247</v>
      </c>
      <c r="B169" s="4">
        <v>10017</v>
      </c>
      <c r="C169" s="1">
        <v>77915</v>
      </c>
      <c r="D169" t="s">
        <v>64</v>
      </c>
      <c r="E169" t="s">
        <v>10</v>
      </c>
      <c r="F169" s="4">
        <v>2110</v>
      </c>
      <c r="G169" s="2">
        <v>29885</v>
      </c>
      <c r="H169" t="s">
        <v>9</v>
      </c>
      <c r="I169" t="s">
        <v>47</v>
      </c>
      <c r="J169" t="s">
        <v>16</v>
      </c>
      <c r="K169" s="2">
        <v>40896</v>
      </c>
      <c r="L169" s="3">
        <f>DATEDIF(HR_Data[[#This Row],[DOB]],HR_Data[[#This Row],[Date of Hire]],"Y")</f>
        <v>30</v>
      </c>
      <c r="N169" s="4" t="str">
        <f>IFERROR(DATEDIF(HR_Data[[#This Row],[Date of Hire]],HR_Data[[#This Row],[Date of Termination]],"Y"),"")</f>
        <v/>
      </c>
      <c r="O169" t="s">
        <v>6</v>
      </c>
      <c r="P169" t="s">
        <v>5</v>
      </c>
      <c r="Q169" t="s">
        <v>4</v>
      </c>
      <c r="R169" t="s">
        <v>21</v>
      </c>
      <c r="S169" t="s">
        <v>44</v>
      </c>
      <c r="T169" t="s">
        <v>20</v>
      </c>
      <c r="U169" s="5">
        <v>4.0999999999999996</v>
      </c>
      <c r="V169" s="4">
        <v>3</v>
      </c>
      <c r="W169" s="4">
        <v>0</v>
      </c>
      <c r="X169" s="2">
        <v>43486</v>
      </c>
      <c r="Y169" s="4">
        <v>0</v>
      </c>
      <c r="Z169" s="4">
        <v>11</v>
      </c>
    </row>
    <row r="170" spans="1:26" x14ac:dyDescent="0.4">
      <c r="A170" t="s">
        <v>246</v>
      </c>
      <c r="B170" s="4">
        <v>10186</v>
      </c>
      <c r="C170" s="1">
        <v>52624</v>
      </c>
      <c r="D170" t="s">
        <v>11</v>
      </c>
      <c r="E170" t="s">
        <v>10</v>
      </c>
      <c r="F170" s="4">
        <v>1886</v>
      </c>
      <c r="G170" s="2">
        <v>29671</v>
      </c>
      <c r="H170" t="s">
        <v>9</v>
      </c>
      <c r="I170" t="s">
        <v>47</v>
      </c>
      <c r="J170" t="s">
        <v>16</v>
      </c>
      <c r="K170" s="2">
        <v>40897</v>
      </c>
      <c r="L170" s="3">
        <f>DATEDIF(HR_Data[[#This Row],[DOB]],HR_Data[[#This Row],[Date of Hire]],"Y")</f>
        <v>30</v>
      </c>
      <c r="M170" s="2">
        <v>43369</v>
      </c>
      <c r="N170" s="4">
        <f>IFERROR(DATEDIF(HR_Data[[#This Row],[Date of Hire]],HR_Data[[#This Row],[Date of Termination]],"Y"),"")</f>
        <v>6</v>
      </c>
      <c r="O170" t="s">
        <v>46</v>
      </c>
      <c r="P170" t="s">
        <v>27</v>
      </c>
      <c r="Q170" t="s">
        <v>4</v>
      </c>
      <c r="R170" t="s">
        <v>67</v>
      </c>
      <c r="S170" t="s">
        <v>55</v>
      </c>
      <c r="T170" t="s">
        <v>1</v>
      </c>
      <c r="U170" s="5">
        <v>3.18</v>
      </c>
      <c r="V170" s="4">
        <v>4</v>
      </c>
      <c r="W170" s="4">
        <v>0</v>
      </c>
      <c r="X170" s="2">
        <v>43134</v>
      </c>
      <c r="Y170" s="4">
        <v>0</v>
      </c>
      <c r="Z170" s="4">
        <v>16</v>
      </c>
    </row>
    <row r="171" spans="1:26" x14ac:dyDescent="0.4">
      <c r="A171" t="s">
        <v>245</v>
      </c>
      <c r="B171" s="4">
        <v>10137</v>
      </c>
      <c r="C171" s="1">
        <v>63450</v>
      </c>
      <c r="D171" t="s">
        <v>32</v>
      </c>
      <c r="E171" t="s">
        <v>10</v>
      </c>
      <c r="F171" s="4">
        <v>1770</v>
      </c>
      <c r="G171" s="2">
        <v>28933</v>
      </c>
      <c r="H171" t="s">
        <v>31</v>
      </c>
      <c r="I171" t="s">
        <v>47</v>
      </c>
      <c r="J171" t="s">
        <v>16</v>
      </c>
      <c r="K171" s="2">
        <v>40898</v>
      </c>
      <c r="L171" s="3">
        <f>DATEDIF(HR_Data[[#This Row],[DOB]],HR_Data[[#This Row],[Date of Hire]],"Y")</f>
        <v>32</v>
      </c>
      <c r="N171" s="4" t="str">
        <f>IFERROR(DATEDIF(HR_Data[[#This Row],[Date of Hire]],HR_Data[[#This Row],[Date of Termination]],"Y"),"")</f>
        <v/>
      </c>
      <c r="O171" t="s">
        <v>6</v>
      </c>
      <c r="P171" t="s">
        <v>5</v>
      </c>
      <c r="Q171" t="s">
        <v>4</v>
      </c>
      <c r="R171" t="s">
        <v>69</v>
      </c>
      <c r="S171" t="s">
        <v>2</v>
      </c>
      <c r="T171" t="s">
        <v>1</v>
      </c>
      <c r="U171" s="5">
        <v>4</v>
      </c>
      <c r="V171" s="4">
        <v>3</v>
      </c>
      <c r="W171" s="4">
        <v>0</v>
      </c>
      <c r="X171" s="2">
        <v>43514</v>
      </c>
      <c r="Y171" s="4">
        <v>0</v>
      </c>
      <c r="Z171" s="4">
        <v>7</v>
      </c>
    </row>
    <row r="172" spans="1:26" x14ac:dyDescent="0.4">
      <c r="A172" t="s">
        <v>244</v>
      </c>
      <c r="B172" s="4">
        <v>10008</v>
      </c>
      <c r="C172" s="1">
        <v>51777</v>
      </c>
      <c r="D172" t="s">
        <v>132</v>
      </c>
      <c r="E172" t="s">
        <v>243</v>
      </c>
      <c r="F172" s="4">
        <v>6070</v>
      </c>
      <c r="G172" s="2">
        <v>32421</v>
      </c>
      <c r="H172" t="s">
        <v>9</v>
      </c>
      <c r="I172" t="s">
        <v>17</v>
      </c>
      <c r="J172" t="s">
        <v>40</v>
      </c>
      <c r="K172" s="2">
        <v>40899</v>
      </c>
      <c r="L172" s="3">
        <f>DATEDIF(HR_Data[[#This Row],[DOB]],HR_Data[[#This Row],[Date of Hire]],"Y")</f>
        <v>23</v>
      </c>
      <c r="N172" s="4" t="str">
        <f>IFERROR(DATEDIF(HR_Data[[#This Row],[Date of Hire]],HR_Data[[#This Row],[Date of Termination]],"Y"),"")</f>
        <v/>
      </c>
      <c r="O172" t="s">
        <v>6</v>
      </c>
      <c r="P172" t="s">
        <v>5</v>
      </c>
      <c r="Q172" t="s">
        <v>15</v>
      </c>
      <c r="R172" t="s">
        <v>131</v>
      </c>
      <c r="S172" t="s">
        <v>37</v>
      </c>
      <c r="T172" t="s">
        <v>20</v>
      </c>
      <c r="U172" s="5">
        <v>4.6399999999999997</v>
      </c>
      <c r="V172" s="4">
        <v>4</v>
      </c>
      <c r="W172" s="4">
        <v>5</v>
      </c>
      <c r="X172" s="2">
        <v>43490</v>
      </c>
      <c r="Y172" s="4">
        <v>0</v>
      </c>
      <c r="Z172" s="4">
        <v>14</v>
      </c>
    </row>
    <row r="173" spans="1:26" x14ac:dyDescent="0.4">
      <c r="A173" t="s">
        <v>242</v>
      </c>
      <c r="B173" s="4">
        <v>10096</v>
      </c>
      <c r="C173" s="1">
        <v>67237</v>
      </c>
      <c r="D173" t="s">
        <v>32</v>
      </c>
      <c r="E173" t="s">
        <v>10</v>
      </c>
      <c r="F173" s="4">
        <v>2122</v>
      </c>
      <c r="G173" s="2">
        <v>28120</v>
      </c>
      <c r="H173" t="s">
        <v>9</v>
      </c>
      <c r="I173" t="s">
        <v>8</v>
      </c>
      <c r="J173" t="s">
        <v>16</v>
      </c>
      <c r="K173" s="2">
        <v>40900</v>
      </c>
      <c r="L173" s="3">
        <f>DATEDIF(HR_Data[[#This Row],[DOB]],HR_Data[[#This Row],[Date of Hire]],"Y")</f>
        <v>34</v>
      </c>
      <c r="M173" s="2">
        <v>42628</v>
      </c>
      <c r="N173" s="4">
        <f>IFERROR(DATEDIF(HR_Data[[#This Row],[Date of Hire]],HR_Data[[#This Row],[Date of Termination]],"Y"),"")</f>
        <v>4</v>
      </c>
      <c r="O173" t="s">
        <v>175</v>
      </c>
      <c r="P173" t="s">
        <v>27</v>
      </c>
      <c r="Q173" t="s">
        <v>4</v>
      </c>
      <c r="R173" t="s">
        <v>67</v>
      </c>
      <c r="S173" t="s">
        <v>2</v>
      </c>
      <c r="T173" t="s">
        <v>1</v>
      </c>
      <c r="U173" s="5">
        <v>4.6500000000000004</v>
      </c>
      <c r="V173" s="4">
        <v>4</v>
      </c>
      <c r="W173" s="4">
        <v>0</v>
      </c>
      <c r="X173" s="2">
        <v>42649</v>
      </c>
      <c r="Y173" s="4">
        <v>0</v>
      </c>
      <c r="Z173" s="4">
        <v>15</v>
      </c>
    </row>
    <row r="174" spans="1:26" x14ac:dyDescent="0.4">
      <c r="A174" t="s">
        <v>241</v>
      </c>
      <c r="B174" s="4">
        <v>10035</v>
      </c>
      <c r="C174" s="1">
        <v>73330</v>
      </c>
      <c r="D174" t="s">
        <v>32</v>
      </c>
      <c r="E174" t="s">
        <v>10</v>
      </c>
      <c r="F174" s="4">
        <v>2324</v>
      </c>
      <c r="G174" s="2">
        <v>30038</v>
      </c>
      <c r="H174" t="s">
        <v>9</v>
      </c>
      <c r="I174" t="s">
        <v>17</v>
      </c>
      <c r="J174" t="s">
        <v>40</v>
      </c>
      <c r="K174" s="2">
        <v>40901</v>
      </c>
      <c r="L174" s="3">
        <f>DATEDIF(HR_Data[[#This Row],[DOB]],HR_Data[[#This Row],[Date of Hire]],"Y")</f>
        <v>29</v>
      </c>
      <c r="N174" s="4" t="str">
        <f>IFERROR(DATEDIF(HR_Data[[#This Row],[Date of Hire]],HR_Data[[#This Row],[Date of Termination]],"Y"),"")</f>
        <v/>
      </c>
      <c r="O174" t="s">
        <v>6</v>
      </c>
      <c r="P174" t="s">
        <v>5</v>
      </c>
      <c r="Q174" t="s">
        <v>4</v>
      </c>
      <c r="R174" t="s">
        <v>61</v>
      </c>
      <c r="S174" t="s">
        <v>55</v>
      </c>
      <c r="T174" t="s">
        <v>20</v>
      </c>
      <c r="U174" s="5">
        <v>4.2</v>
      </c>
      <c r="V174" s="4">
        <v>4</v>
      </c>
      <c r="W174" s="4">
        <v>0</v>
      </c>
      <c r="X174" s="2">
        <v>43801</v>
      </c>
      <c r="Y174" s="4">
        <v>0</v>
      </c>
      <c r="Z174" s="4">
        <v>19</v>
      </c>
    </row>
    <row r="175" spans="1:26" x14ac:dyDescent="0.4">
      <c r="A175" t="s">
        <v>240</v>
      </c>
      <c r="B175" s="4">
        <v>10057</v>
      </c>
      <c r="C175" s="1">
        <v>52057</v>
      </c>
      <c r="D175" t="s">
        <v>11</v>
      </c>
      <c r="E175" t="s">
        <v>10</v>
      </c>
      <c r="F175" s="4">
        <v>2122</v>
      </c>
      <c r="G175" s="2">
        <v>27689</v>
      </c>
      <c r="H175" t="s">
        <v>9</v>
      </c>
      <c r="I175" t="s">
        <v>47</v>
      </c>
      <c r="J175" t="s">
        <v>40</v>
      </c>
      <c r="K175" s="2">
        <v>40902</v>
      </c>
      <c r="L175" s="3">
        <f>DATEDIF(HR_Data[[#This Row],[DOB]],HR_Data[[#This Row],[Date of Hire]],"Y")</f>
        <v>36</v>
      </c>
      <c r="N175" s="4" t="str">
        <f>IFERROR(DATEDIF(HR_Data[[#This Row],[Date of Hire]],HR_Data[[#This Row],[Date of Termination]],"Y"),"")</f>
        <v/>
      </c>
      <c r="O175" t="s">
        <v>6</v>
      </c>
      <c r="P175" t="s">
        <v>5</v>
      </c>
      <c r="Q175" t="s">
        <v>4</v>
      </c>
      <c r="R175" t="s">
        <v>61</v>
      </c>
      <c r="S175" t="s">
        <v>44</v>
      </c>
      <c r="T175" t="s">
        <v>1</v>
      </c>
      <c r="U175" s="5">
        <v>5</v>
      </c>
      <c r="V175" s="4">
        <v>3</v>
      </c>
      <c r="W175" s="4">
        <v>0</v>
      </c>
      <c r="X175" s="2">
        <v>43488</v>
      </c>
      <c r="Y175" s="4">
        <v>0</v>
      </c>
      <c r="Z175" s="4">
        <v>6</v>
      </c>
    </row>
    <row r="176" spans="1:26" x14ac:dyDescent="0.4">
      <c r="A176" t="s">
        <v>239</v>
      </c>
      <c r="B176" s="4">
        <v>10004</v>
      </c>
      <c r="C176" s="1">
        <v>47434</v>
      </c>
      <c r="D176" t="s">
        <v>11</v>
      </c>
      <c r="E176" t="s">
        <v>10</v>
      </c>
      <c r="F176" s="4">
        <v>1844</v>
      </c>
      <c r="G176" s="2">
        <v>26709</v>
      </c>
      <c r="H176" t="s">
        <v>9</v>
      </c>
      <c r="I176" t="s">
        <v>17</v>
      </c>
      <c r="J176" t="s">
        <v>40</v>
      </c>
      <c r="K176" s="2">
        <v>40903</v>
      </c>
      <c r="L176" s="3">
        <f>DATEDIF(HR_Data[[#This Row],[DOB]],HR_Data[[#This Row],[Date of Hire]],"Y")</f>
        <v>38</v>
      </c>
      <c r="M176" s="2">
        <v>42322</v>
      </c>
      <c r="N176" s="4">
        <f>IFERROR(DATEDIF(HR_Data[[#This Row],[Date of Hire]],HR_Data[[#This Row],[Date of Termination]],"Y"),"")</f>
        <v>3</v>
      </c>
      <c r="O176" t="s">
        <v>28</v>
      </c>
      <c r="P176" t="s">
        <v>27</v>
      </c>
      <c r="Q176" t="s">
        <v>4</v>
      </c>
      <c r="R176" t="s">
        <v>49</v>
      </c>
      <c r="S176" t="s">
        <v>37</v>
      </c>
      <c r="T176" t="s">
        <v>20</v>
      </c>
      <c r="U176" s="5">
        <v>5</v>
      </c>
      <c r="V176" s="4">
        <v>4</v>
      </c>
      <c r="W176" s="4">
        <v>0</v>
      </c>
      <c r="X176" s="2">
        <v>42037</v>
      </c>
      <c r="Y176" s="4">
        <v>0</v>
      </c>
      <c r="Z176" s="4">
        <v>17</v>
      </c>
    </row>
    <row r="177" spans="1:26" x14ac:dyDescent="0.4">
      <c r="A177" t="s">
        <v>238</v>
      </c>
      <c r="B177" s="4">
        <v>10191</v>
      </c>
      <c r="C177" s="1">
        <v>52788</v>
      </c>
      <c r="D177" t="s">
        <v>11</v>
      </c>
      <c r="E177" t="s">
        <v>10</v>
      </c>
      <c r="F177" s="4">
        <v>1938</v>
      </c>
      <c r="G177" s="2">
        <v>26612</v>
      </c>
      <c r="H177" t="s">
        <v>31</v>
      </c>
      <c r="I177" t="s">
        <v>8</v>
      </c>
      <c r="J177" t="s">
        <v>16</v>
      </c>
      <c r="K177" s="2">
        <v>40904</v>
      </c>
      <c r="L177" s="3">
        <f>DATEDIF(HR_Data[[#This Row],[DOB]],HR_Data[[#This Row],[Date of Hire]],"Y")</f>
        <v>39</v>
      </c>
      <c r="M177" s="2">
        <v>43004</v>
      </c>
      <c r="N177" s="4">
        <f>IFERROR(DATEDIF(HR_Data[[#This Row],[Date of Hire]],HR_Data[[#This Row],[Date of Termination]],"Y"),"")</f>
        <v>5</v>
      </c>
      <c r="O177" t="s">
        <v>50</v>
      </c>
      <c r="P177" t="s">
        <v>27</v>
      </c>
      <c r="Q177" t="s">
        <v>4</v>
      </c>
      <c r="R177" t="s">
        <v>45</v>
      </c>
      <c r="S177" t="s">
        <v>55</v>
      </c>
      <c r="T177" t="s">
        <v>1</v>
      </c>
      <c r="U177" s="5">
        <v>3.08</v>
      </c>
      <c r="V177" s="4">
        <v>4</v>
      </c>
      <c r="W177" s="4">
        <v>0</v>
      </c>
      <c r="X177" s="2">
        <v>42739</v>
      </c>
      <c r="Y177" s="4">
        <v>0</v>
      </c>
      <c r="Z177" s="4">
        <v>18</v>
      </c>
    </row>
    <row r="178" spans="1:26" x14ac:dyDescent="0.4">
      <c r="A178" t="s">
        <v>237</v>
      </c>
      <c r="B178" s="4">
        <v>10219</v>
      </c>
      <c r="C178" s="1">
        <v>45395</v>
      </c>
      <c r="D178" t="s">
        <v>11</v>
      </c>
      <c r="E178" t="s">
        <v>10</v>
      </c>
      <c r="F178" s="4">
        <v>2189</v>
      </c>
      <c r="G178" s="2">
        <v>31600</v>
      </c>
      <c r="H178" t="s">
        <v>9</v>
      </c>
      <c r="I178" t="s">
        <v>17</v>
      </c>
      <c r="J178" t="s">
        <v>16</v>
      </c>
      <c r="K178" s="2">
        <v>40905</v>
      </c>
      <c r="L178" s="3">
        <f>DATEDIF(HR_Data[[#This Row],[DOB]],HR_Data[[#This Row],[Date of Hire]],"Y")</f>
        <v>25</v>
      </c>
      <c r="N178" s="4" t="str">
        <f>IFERROR(DATEDIF(HR_Data[[#This Row],[Date of Hire]],HR_Data[[#This Row],[Date of Termination]],"Y"),"")</f>
        <v/>
      </c>
      <c r="O178" t="s">
        <v>6</v>
      </c>
      <c r="P178" t="s">
        <v>5</v>
      </c>
      <c r="Q178" t="s">
        <v>4</v>
      </c>
      <c r="R178" t="s">
        <v>38</v>
      </c>
      <c r="S178" t="s">
        <v>2</v>
      </c>
      <c r="T178" t="s">
        <v>1</v>
      </c>
      <c r="U178" s="5">
        <v>4.5999999999999996</v>
      </c>
      <c r="V178" s="4">
        <v>4</v>
      </c>
      <c r="W178" s="4">
        <v>0</v>
      </c>
      <c r="X178" s="2">
        <v>43522</v>
      </c>
      <c r="Y178" s="4">
        <v>0</v>
      </c>
      <c r="Z178" s="4">
        <v>14</v>
      </c>
    </row>
    <row r="179" spans="1:26" x14ac:dyDescent="0.4">
      <c r="A179" t="s">
        <v>236</v>
      </c>
      <c r="B179" s="4">
        <v>10077</v>
      </c>
      <c r="C179" s="1">
        <v>62385</v>
      </c>
      <c r="D179" t="s">
        <v>32</v>
      </c>
      <c r="E179" t="s">
        <v>10</v>
      </c>
      <c r="F179" s="4">
        <v>2324</v>
      </c>
      <c r="G179" s="2">
        <v>27997</v>
      </c>
      <c r="H179" t="s">
        <v>9</v>
      </c>
      <c r="I179" t="s">
        <v>47</v>
      </c>
      <c r="J179" t="s">
        <v>16</v>
      </c>
      <c r="K179" s="2">
        <v>40906</v>
      </c>
      <c r="L179" s="3">
        <f>DATEDIF(HR_Data[[#This Row],[DOB]],HR_Data[[#This Row],[Date of Hire]],"Y")</f>
        <v>35</v>
      </c>
      <c r="N179" s="4" t="str">
        <f>IFERROR(DATEDIF(HR_Data[[#This Row],[Date of Hire]],HR_Data[[#This Row],[Date of Termination]],"Y"),"")</f>
        <v/>
      </c>
      <c r="O179" t="s">
        <v>6</v>
      </c>
      <c r="P179" t="s">
        <v>5</v>
      </c>
      <c r="Q179" t="s">
        <v>4</v>
      </c>
      <c r="R179" t="s">
        <v>49</v>
      </c>
      <c r="S179" t="s">
        <v>2</v>
      </c>
      <c r="T179" t="s">
        <v>1</v>
      </c>
      <c r="U179" s="5">
        <v>5</v>
      </c>
      <c r="V179" s="4">
        <v>3</v>
      </c>
      <c r="W179" s="4">
        <v>0</v>
      </c>
      <c r="X179" s="2">
        <v>43486</v>
      </c>
      <c r="Y179" s="4">
        <v>0</v>
      </c>
      <c r="Z179" s="4">
        <v>4</v>
      </c>
    </row>
    <row r="180" spans="1:26" x14ac:dyDescent="0.4">
      <c r="A180" t="s">
        <v>235</v>
      </c>
      <c r="B180" s="4">
        <v>10073</v>
      </c>
      <c r="C180" s="1">
        <v>68407</v>
      </c>
      <c r="D180" t="s">
        <v>32</v>
      </c>
      <c r="E180" t="s">
        <v>10</v>
      </c>
      <c r="F180" s="4">
        <v>2176</v>
      </c>
      <c r="G180" s="2">
        <v>31756</v>
      </c>
      <c r="H180" t="s">
        <v>9</v>
      </c>
      <c r="I180" t="s">
        <v>47</v>
      </c>
      <c r="J180" t="s">
        <v>84</v>
      </c>
      <c r="K180" s="2">
        <v>40907</v>
      </c>
      <c r="L180" s="3">
        <f>DATEDIF(HR_Data[[#This Row],[DOB]],HR_Data[[#This Row],[Date of Hire]],"Y")</f>
        <v>25</v>
      </c>
      <c r="M180" s="2">
        <v>41140</v>
      </c>
      <c r="N180" s="4">
        <f>IFERROR(DATEDIF(HR_Data[[#This Row],[Date of Hire]],HR_Data[[#This Row],[Date of Termination]],"Y"),"")</f>
        <v>0</v>
      </c>
      <c r="O180" t="s">
        <v>28</v>
      </c>
      <c r="P180" t="s">
        <v>27</v>
      </c>
      <c r="Q180" t="s">
        <v>4</v>
      </c>
      <c r="R180" t="s">
        <v>45</v>
      </c>
      <c r="S180" t="s">
        <v>2</v>
      </c>
      <c r="T180" t="s">
        <v>1</v>
      </c>
      <c r="U180" s="5">
        <v>5</v>
      </c>
      <c r="V180" s="4">
        <v>4</v>
      </c>
      <c r="W180" s="4">
        <v>0</v>
      </c>
      <c r="X180" s="2">
        <v>40946</v>
      </c>
      <c r="Y180" s="4">
        <v>0</v>
      </c>
      <c r="Z180" s="4">
        <v>16</v>
      </c>
    </row>
    <row r="181" spans="1:26" x14ac:dyDescent="0.4">
      <c r="A181" t="s">
        <v>234</v>
      </c>
      <c r="B181" s="4">
        <v>10279</v>
      </c>
      <c r="C181" s="1">
        <v>61349</v>
      </c>
      <c r="D181" t="s">
        <v>11</v>
      </c>
      <c r="E181" t="s">
        <v>10</v>
      </c>
      <c r="F181" s="4">
        <v>2451</v>
      </c>
      <c r="G181" s="2">
        <v>27340</v>
      </c>
      <c r="H181" t="s">
        <v>9</v>
      </c>
      <c r="I181" t="s">
        <v>47</v>
      </c>
      <c r="J181" t="s">
        <v>16</v>
      </c>
      <c r="K181" s="2">
        <v>40908</v>
      </c>
      <c r="L181" s="3">
        <f>DATEDIF(HR_Data[[#This Row],[DOB]],HR_Data[[#This Row],[Date of Hire]],"Y")</f>
        <v>37</v>
      </c>
      <c r="N181" s="4" t="str">
        <f>IFERROR(DATEDIF(HR_Data[[#This Row],[Date of Hire]],HR_Data[[#This Row],[Date of Termination]],"Y"),"")</f>
        <v/>
      </c>
      <c r="O181" t="s">
        <v>6</v>
      </c>
      <c r="P181" t="s">
        <v>5</v>
      </c>
      <c r="Q181" t="s">
        <v>4</v>
      </c>
      <c r="R181" t="s">
        <v>26</v>
      </c>
      <c r="S181" t="s">
        <v>2</v>
      </c>
      <c r="T181" t="s">
        <v>1</v>
      </c>
      <c r="U181" s="5">
        <v>4.0999999999999996</v>
      </c>
      <c r="V181" s="4">
        <v>3</v>
      </c>
      <c r="W181" s="4">
        <v>0</v>
      </c>
      <c r="X181" s="2">
        <v>43487</v>
      </c>
      <c r="Y181" s="4">
        <v>0</v>
      </c>
      <c r="Z181" s="4">
        <v>11</v>
      </c>
    </row>
    <row r="182" spans="1:26" x14ac:dyDescent="0.4">
      <c r="A182" t="s">
        <v>233</v>
      </c>
      <c r="B182" s="4">
        <v>10110</v>
      </c>
      <c r="C182" s="1">
        <v>105688</v>
      </c>
      <c r="D182" t="s">
        <v>93</v>
      </c>
      <c r="E182" t="s">
        <v>10</v>
      </c>
      <c r="F182" s="4">
        <v>2135</v>
      </c>
      <c r="G182" s="2">
        <v>32088</v>
      </c>
      <c r="H182" t="s">
        <v>9</v>
      </c>
      <c r="I182" t="s">
        <v>17</v>
      </c>
      <c r="J182" t="s">
        <v>7</v>
      </c>
      <c r="K182" s="2">
        <v>40909</v>
      </c>
      <c r="L182" s="3">
        <f>DATEDIF(HR_Data[[#This Row],[DOB]],HR_Data[[#This Row],[Date of Hire]],"Y")</f>
        <v>24</v>
      </c>
      <c r="N182" s="4" t="str">
        <f>IFERROR(DATEDIF(HR_Data[[#This Row],[Date of Hire]],HR_Data[[#This Row],[Date of Termination]],"Y"),"")</f>
        <v/>
      </c>
      <c r="O182" t="s">
        <v>6</v>
      </c>
      <c r="P182" t="s">
        <v>5</v>
      </c>
      <c r="Q182" t="s">
        <v>91</v>
      </c>
      <c r="R182" t="s">
        <v>90</v>
      </c>
      <c r="S182" t="s">
        <v>25</v>
      </c>
      <c r="T182" t="s">
        <v>1</v>
      </c>
      <c r="U182" s="5">
        <v>4.5</v>
      </c>
      <c r="V182" s="4">
        <v>5</v>
      </c>
      <c r="W182" s="4">
        <v>4</v>
      </c>
      <c r="X182" s="2">
        <v>43479</v>
      </c>
      <c r="Y182" s="4">
        <v>0</v>
      </c>
      <c r="Z182" s="4">
        <v>14</v>
      </c>
    </row>
    <row r="183" spans="1:26" x14ac:dyDescent="0.4">
      <c r="A183" t="s">
        <v>232</v>
      </c>
      <c r="B183" s="4">
        <v>10053</v>
      </c>
      <c r="C183" s="1">
        <v>54132</v>
      </c>
      <c r="D183" t="s">
        <v>11</v>
      </c>
      <c r="E183" t="s">
        <v>10</v>
      </c>
      <c r="F183" s="4">
        <v>2330</v>
      </c>
      <c r="G183" s="2">
        <v>28451</v>
      </c>
      <c r="H183" t="s">
        <v>9</v>
      </c>
      <c r="I183" t="s">
        <v>47</v>
      </c>
      <c r="J183" t="s">
        <v>16</v>
      </c>
      <c r="K183" s="2">
        <v>40910</v>
      </c>
      <c r="L183" s="3">
        <f>DATEDIF(HR_Data[[#This Row],[DOB]],HR_Data[[#This Row],[Date of Hire]],"Y")</f>
        <v>34</v>
      </c>
      <c r="N183" s="4" t="str">
        <f>IFERROR(DATEDIF(HR_Data[[#This Row],[Date of Hire]],HR_Data[[#This Row],[Date of Termination]],"Y"),"")</f>
        <v/>
      </c>
      <c r="O183" t="s">
        <v>6</v>
      </c>
      <c r="P183" t="s">
        <v>5</v>
      </c>
      <c r="Q183" t="s">
        <v>4</v>
      </c>
      <c r="R183" t="s">
        <v>3</v>
      </c>
      <c r="S183" t="s">
        <v>55</v>
      </c>
      <c r="T183" t="s">
        <v>1</v>
      </c>
      <c r="U183" s="5">
        <v>5</v>
      </c>
      <c r="V183" s="4">
        <v>4</v>
      </c>
      <c r="W183" s="4">
        <v>0</v>
      </c>
      <c r="X183" s="2">
        <v>43739</v>
      </c>
      <c r="Y183" s="4">
        <v>0</v>
      </c>
      <c r="Z183" s="4">
        <v>8</v>
      </c>
    </row>
    <row r="184" spans="1:26" x14ac:dyDescent="0.4">
      <c r="A184" t="s">
        <v>231</v>
      </c>
      <c r="B184" s="4">
        <v>10076</v>
      </c>
      <c r="C184" s="1">
        <v>55315</v>
      </c>
      <c r="D184" t="s">
        <v>32</v>
      </c>
      <c r="E184" t="s">
        <v>10</v>
      </c>
      <c r="F184" s="4">
        <v>2149</v>
      </c>
      <c r="G184" s="2">
        <v>31918</v>
      </c>
      <c r="H184" t="s">
        <v>9</v>
      </c>
      <c r="I184" t="s">
        <v>17</v>
      </c>
      <c r="J184" t="s">
        <v>40</v>
      </c>
      <c r="K184" s="2">
        <v>40911</v>
      </c>
      <c r="L184" s="3">
        <f>DATEDIF(HR_Data[[#This Row],[DOB]],HR_Data[[#This Row],[Date of Hire]],"Y")</f>
        <v>24</v>
      </c>
      <c r="N184" s="4" t="str">
        <f>IFERROR(DATEDIF(HR_Data[[#This Row],[Date of Hire]],HR_Data[[#This Row],[Date of Termination]],"Y"),"")</f>
        <v/>
      </c>
      <c r="O184" t="s">
        <v>6</v>
      </c>
      <c r="P184" t="s">
        <v>5</v>
      </c>
      <c r="Q184" t="s">
        <v>4</v>
      </c>
      <c r="R184" t="s">
        <v>38</v>
      </c>
      <c r="S184" t="s">
        <v>2</v>
      </c>
      <c r="T184" t="s">
        <v>1</v>
      </c>
      <c r="U184" s="5">
        <v>5</v>
      </c>
      <c r="V184" s="4">
        <v>5</v>
      </c>
      <c r="W184" s="4">
        <v>0</v>
      </c>
      <c r="X184" s="2">
        <v>43648</v>
      </c>
      <c r="Y184" s="4">
        <v>0</v>
      </c>
      <c r="Z184" s="4">
        <v>16</v>
      </c>
    </row>
    <row r="185" spans="1:26" x14ac:dyDescent="0.4">
      <c r="A185" t="s">
        <v>230</v>
      </c>
      <c r="B185" s="4">
        <v>10145</v>
      </c>
      <c r="C185" s="1">
        <v>62810</v>
      </c>
      <c r="D185" t="s">
        <v>11</v>
      </c>
      <c r="E185" t="s">
        <v>10</v>
      </c>
      <c r="F185" s="4">
        <v>2184</v>
      </c>
      <c r="G185" s="2">
        <v>31784</v>
      </c>
      <c r="H185" t="s">
        <v>9</v>
      </c>
      <c r="I185" t="s">
        <v>47</v>
      </c>
      <c r="J185" t="s">
        <v>40</v>
      </c>
      <c r="K185" s="2">
        <v>40912</v>
      </c>
      <c r="L185" s="3">
        <f>DATEDIF(HR_Data[[#This Row],[DOB]],HR_Data[[#This Row],[Date of Hire]],"Y")</f>
        <v>24</v>
      </c>
      <c r="N185" s="4" t="str">
        <f>IFERROR(DATEDIF(HR_Data[[#This Row],[Date of Hire]],HR_Data[[#This Row],[Date of Termination]],"Y"),"")</f>
        <v/>
      </c>
      <c r="O185" t="s">
        <v>6</v>
      </c>
      <c r="P185" t="s">
        <v>5</v>
      </c>
      <c r="Q185" t="s">
        <v>4</v>
      </c>
      <c r="R185" t="s">
        <v>30</v>
      </c>
      <c r="S185" t="s">
        <v>60</v>
      </c>
      <c r="T185" t="s">
        <v>1</v>
      </c>
      <c r="U185" s="5">
        <v>3.93</v>
      </c>
      <c r="V185" s="4">
        <v>3</v>
      </c>
      <c r="W185" s="4">
        <v>0</v>
      </c>
      <c r="X185" s="2">
        <v>43495</v>
      </c>
      <c r="Y185" s="4">
        <v>0</v>
      </c>
      <c r="Z185" s="4">
        <v>20</v>
      </c>
    </row>
    <row r="186" spans="1:26" x14ac:dyDescent="0.4">
      <c r="A186" t="s">
        <v>229</v>
      </c>
      <c r="B186" s="4">
        <v>10202</v>
      </c>
      <c r="C186" s="1">
        <v>63291</v>
      </c>
      <c r="D186" t="s">
        <v>79</v>
      </c>
      <c r="E186" t="s">
        <v>228</v>
      </c>
      <c r="F186" s="4">
        <v>78789</v>
      </c>
      <c r="G186" s="2">
        <v>30864</v>
      </c>
      <c r="H186" t="s">
        <v>31</v>
      </c>
      <c r="I186" t="s">
        <v>47</v>
      </c>
      <c r="J186" t="s">
        <v>84</v>
      </c>
      <c r="K186" s="2">
        <v>40913</v>
      </c>
      <c r="L186" s="3">
        <f>DATEDIF(HR_Data[[#This Row],[DOB]],HR_Data[[#This Row],[Date of Hire]],"Y")</f>
        <v>27</v>
      </c>
      <c r="N186" s="4" t="str">
        <f>IFERROR(DATEDIF(HR_Data[[#This Row],[Date of Hire]],HR_Data[[#This Row],[Date of Termination]],"Y"),"")</f>
        <v/>
      </c>
      <c r="O186" t="s">
        <v>6</v>
      </c>
      <c r="P186" t="s">
        <v>5</v>
      </c>
      <c r="Q186" t="s">
        <v>77</v>
      </c>
      <c r="R186" t="s">
        <v>97</v>
      </c>
      <c r="S186" t="s">
        <v>44</v>
      </c>
      <c r="T186" t="s">
        <v>1</v>
      </c>
      <c r="U186" s="5">
        <v>3.4</v>
      </c>
      <c r="V186" s="4">
        <v>4</v>
      </c>
      <c r="W186" s="4">
        <v>0</v>
      </c>
      <c r="X186" s="2">
        <v>43494</v>
      </c>
      <c r="Y186" s="4">
        <v>0</v>
      </c>
      <c r="Z186" s="4">
        <v>7</v>
      </c>
    </row>
    <row r="187" spans="1:26" x14ac:dyDescent="0.4">
      <c r="A187" t="s">
        <v>227</v>
      </c>
      <c r="B187" s="4">
        <v>10128</v>
      </c>
      <c r="C187" s="1">
        <v>62659</v>
      </c>
      <c r="D187" t="s">
        <v>11</v>
      </c>
      <c r="E187" t="s">
        <v>10</v>
      </c>
      <c r="F187" s="4">
        <v>1760</v>
      </c>
      <c r="G187" s="2">
        <v>24988</v>
      </c>
      <c r="H187" t="s">
        <v>9</v>
      </c>
      <c r="I187" t="s">
        <v>17</v>
      </c>
      <c r="J187" t="s">
        <v>40</v>
      </c>
      <c r="K187" s="2">
        <v>40914</v>
      </c>
      <c r="L187" s="3">
        <f>DATEDIF(HR_Data[[#This Row],[DOB]],HR_Data[[#This Row],[Date of Hire]],"Y")</f>
        <v>43</v>
      </c>
      <c r="M187" s="2">
        <v>42685</v>
      </c>
      <c r="N187" s="4">
        <f>IFERROR(DATEDIF(HR_Data[[#This Row],[Date of Hire]],HR_Data[[#This Row],[Date of Termination]],"Y"),"")</f>
        <v>4</v>
      </c>
      <c r="O187" t="s">
        <v>28</v>
      </c>
      <c r="P187" t="s">
        <v>27</v>
      </c>
      <c r="Q187" t="s">
        <v>4</v>
      </c>
      <c r="R187" t="s">
        <v>69</v>
      </c>
      <c r="S187" t="s">
        <v>37</v>
      </c>
      <c r="T187" t="s">
        <v>1</v>
      </c>
      <c r="U187" s="5">
        <v>4.18</v>
      </c>
      <c r="V187" s="4">
        <v>4</v>
      </c>
      <c r="W187" s="4">
        <v>0</v>
      </c>
      <c r="X187" s="2">
        <v>42492</v>
      </c>
      <c r="Y187" s="4">
        <v>0</v>
      </c>
      <c r="Z187" s="4">
        <v>17</v>
      </c>
    </row>
    <row r="188" spans="1:26" x14ac:dyDescent="0.4">
      <c r="A188" t="s">
        <v>226</v>
      </c>
      <c r="B188" s="4">
        <v>10068</v>
      </c>
      <c r="C188" s="1">
        <v>55688</v>
      </c>
      <c r="D188" t="s">
        <v>11</v>
      </c>
      <c r="E188" t="s">
        <v>10</v>
      </c>
      <c r="F188" s="4">
        <v>2346</v>
      </c>
      <c r="G188" s="2">
        <v>28025</v>
      </c>
      <c r="H188" t="s">
        <v>9</v>
      </c>
      <c r="I188" t="s">
        <v>17</v>
      </c>
      <c r="J188" t="s">
        <v>16</v>
      </c>
      <c r="K188" s="2">
        <v>40915</v>
      </c>
      <c r="L188" s="3">
        <f>DATEDIF(HR_Data[[#This Row],[DOB]],HR_Data[[#This Row],[Date of Hire]],"Y")</f>
        <v>35</v>
      </c>
      <c r="N188" s="4" t="str">
        <f>IFERROR(DATEDIF(HR_Data[[#This Row],[Date of Hire]],HR_Data[[#This Row],[Date of Termination]],"Y"),"")</f>
        <v/>
      </c>
      <c r="O188" t="s">
        <v>6</v>
      </c>
      <c r="P188" t="s">
        <v>5</v>
      </c>
      <c r="Q188" t="s">
        <v>4</v>
      </c>
      <c r="R188" t="s">
        <v>67</v>
      </c>
      <c r="S188" t="s">
        <v>60</v>
      </c>
      <c r="T188" t="s">
        <v>1</v>
      </c>
      <c r="U188" s="5">
        <v>5</v>
      </c>
      <c r="V188" s="4">
        <v>4</v>
      </c>
      <c r="W188" s="4">
        <v>0</v>
      </c>
      <c r="X188" s="2">
        <v>43486</v>
      </c>
      <c r="Y188" s="4">
        <v>0</v>
      </c>
      <c r="Z188" s="4">
        <v>10</v>
      </c>
    </row>
    <row r="189" spans="1:26" x14ac:dyDescent="0.4">
      <c r="A189" t="s">
        <v>225</v>
      </c>
      <c r="B189" s="4">
        <v>10116</v>
      </c>
      <c r="C189" s="1">
        <v>83667</v>
      </c>
      <c r="D189" t="s">
        <v>64</v>
      </c>
      <c r="E189" t="s">
        <v>10</v>
      </c>
      <c r="F189" s="4">
        <v>2045</v>
      </c>
      <c r="G189" s="2">
        <v>29808</v>
      </c>
      <c r="H189" t="s">
        <v>31</v>
      </c>
      <c r="I189" t="s">
        <v>17</v>
      </c>
      <c r="J189" t="s">
        <v>224</v>
      </c>
      <c r="K189" s="2">
        <v>40916</v>
      </c>
      <c r="L189" s="3">
        <f>DATEDIF(HR_Data[[#This Row],[DOB]],HR_Data[[#This Row],[Date of Hire]],"Y")</f>
        <v>30</v>
      </c>
      <c r="N189" s="4" t="str">
        <f>IFERROR(DATEDIF(HR_Data[[#This Row],[Date of Hire]],HR_Data[[#This Row],[Date of Termination]],"Y"),"")</f>
        <v/>
      </c>
      <c r="O189" t="s">
        <v>6</v>
      </c>
      <c r="P189" t="s">
        <v>5</v>
      </c>
      <c r="Q189" t="s">
        <v>4</v>
      </c>
      <c r="R189" t="s">
        <v>21</v>
      </c>
      <c r="S189" t="s">
        <v>55</v>
      </c>
      <c r="T189" t="s">
        <v>1</v>
      </c>
      <c r="U189" s="5">
        <v>4.37</v>
      </c>
      <c r="V189" s="4">
        <v>3</v>
      </c>
      <c r="W189" s="4">
        <v>0</v>
      </c>
      <c r="X189" s="2">
        <v>43479</v>
      </c>
      <c r="Y189" s="4">
        <v>0</v>
      </c>
      <c r="Z189" s="4">
        <v>2</v>
      </c>
    </row>
    <row r="190" spans="1:26" x14ac:dyDescent="0.4">
      <c r="A190" t="s">
        <v>223</v>
      </c>
      <c r="B190" s="4">
        <v>10298</v>
      </c>
      <c r="C190" s="1">
        <v>55800</v>
      </c>
      <c r="D190" t="s">
        <v>32</v>
      </c>
      <c r="E190" t="s">
        <v>10</v>
      </c>
      <c r="F190" s="4">
        <v>2472</v>
      </c>
      <c r="G190" s="2">
        <v>31227</v>
      </c>
      <c r="H190" t="s">
        <v>31</v>
      </c>
      <c r="I190" t="s">
        <v>17</v>
      </c>
      <c r="J190" t="s">
        <v>16</v>
      </c>
      <c r="K190" s="2">
        <v>40917</v>
      </c>
      <c r="L190" s="3">
        <f>DATEDIF(HR_Data[[#This Row],[DOB]],HR_Data[[#This Row],[Date of Hire]],"Y")</f>
        <v>26</v>
      </c>
      <c r="M190" s="2">
        <v>41886</v>
      </c>
      <c r="N190" s="4">
        <f>IFERROR(DATEDIF(HR_Data[[#This Row],[Date of Hire]],HR_Data[[#This Row],[Date of Termination]],"Y"),"")</f>
        <v>2</v>
      </c>
      <c r="O190" t="s">
        <v>46</v>
      </c>
      <c r="P190" t="s">
        <v>27</v>
      </c>
      <c r="Q190" t="s">
        <v>4</v>
      </c>
      <c r="R190" t="s">
        <v>26</v>
      </c>
      <c r="S190" t="s">
        <v>2</v>
      </c>
      <c r="T190" t="s">
        <v>24</v>
      </c>
      <c r="U190" s="5">
        <v>3</v>
      </c>
      <c r="V190" s="4">
        <v>2</v>
      </c>
      <c r="W190" s="4">
        <v>0</v>
      </c>
      <c r="X190" s="2">
        <v>41288</v>
      </c>
      <c r="Y190" s="4">
        <v>6</v>
      </c>
      <c r="Z190" s="4">
        <v>6</v>
      </c>
    </row>
    <row r="191" spans="1:26" x14ac:dyDescent="0.4">
      <c r="A191" t="s">
        <v>222</v>
      </c>
      <c r="B191" s="4">
        <v>10213</v>
      </c>
      <c r="C191" s="1">
        <v>58207</v>
      </c>
      <c r="D191" t="s">
        <v>32</v>
      </c>
      <c r="E191" t="s">
        <v>10</v>
      </c>
      <c r="F191" s="4">
        <v>1450</v>
      </c>
      <c r="G191" s="2">
        <v>33833</v>
      </c>
      <c r="H191" t="s">
        <v>31</v>
      </c>
      <c r="I191" t="s">
        <v>47</v>
      </c>
      <c r="J191" t="s">
        <v>16</v>
      </c>
      <c r="K191" s="2">
        <v>40918</v>
      </c>
      <c r="L191" s="3">
        <f>DATEDIF(HR_Data[[#This Row],[DOB]],HR_Data[[#This Row],[Date of Hire]],"Y")</f>
        <v>19</v>
      </c>
      <c r="N191" s="4" t="str">
        <f>IFERROR(DATEDIF(HR_Data[[#This Row],[Date of Hire]],HR_Data[[#This Row],[Date of Termination]],"Y"),"")</f>
        <v/>
      </c>
      <c r="O191" t="s">
        <v>6</v>
      </c>
      <c r="P191" t="s">
        <v>5</v>
      </c>
      <c r="Q191" t="s">
        <v>4</v>
      </c>
      <c r="R191" t="s">
        <v>3</v>
      </c>
      <c r="S191" t="s">
        <v>2</v>
      </c>
      <c r="T191" t="s">
        <v>1</v>
      </c>
      <c r="U191" s="5">
        <v>3.7</v>
      </c>
      <c r="V191" s="4">
        <v>3</v>
      </c>
      <c r="W191" s="4">
        <v>0</v>
      </c>
      <c r="X191" s="2">
        <v>43678</v>
      </c>
      <c r="Y191" s="4">
        <v>0</v>
      </c>
      <c r="Z191" s="4">
        <v>14</v>
      </c>
    </row>
    <row r="192" spans="1:26" x14ac:dyDescent="0.4">
      <c r="A192" t="s">
        <v>221</v>
      </c>
      <c r="B192" s="4">
        <v>10288</v>
      </c>
      <c r="C192" s="1">
        <v>157000</v>
      </c>
      <c r="D192" t="s">
        <v>220</v>
      </c>
      <c r="E192" t="s">
        <v>10</v>
      </c>
      <c r="F192" s="4">
        <v>2134</v>
      </c>
      <c r="G192" s="2">
        <v>31690</v>
      </c>
      <c r="H192" t="s">
        <v>31</v>
      </c>
      <c r="I192" t="s">
        <v>47</v>
      </c>
      <c r="J192" t="s">
        <v>40</v>
      </c>
      <c r="K192" s="2">
        <v>40919</v>
      </c>
      <c r="L192" s="3">
        <f>DATEDIF(HR_Data[[#This Row],[DOB]],HR_Data[[#This Row],[Date of Hire]],"Y")</f>
        <v>25</v>
      </c>
      <c r="N192" s="4" t="str">
        <f>IFERROR(DATEDIF(HR_Data[[#This Row],[Date of Hire]],HR_Data[[#This Row],[Date of Termination]],"Y"),"")</f>
        <v/>
      </c>
      <c r="O192" t="s">
        <v>6</v>
      </c>
      <c r="P192" t="s">
        <v>5</v>
      </c>
      <c r="Q192" t="s">
        <v>15</v>
      </c>
      <c r="R192" t="s">
        <v>154</v>
      </c>
      <c r="S192" t="s">
        <v>37</v>
      </c>
      <c r="T192" t="s">
        <v>59</v>
      </c>
      <c r="U192" s="5">
        <v>2.39</v>
      </c>
      <c r="V192" s="4">
        <v>3</v>
      </c>
      <c r="W192" s="4">
        <v>6</v>
      </c>
      <c r="X192" s="2">
        <v>43518</v>
      </c>
      <c r="Y192" s="4">
        <v>4</v>
      </c>
      <c r="Z192" s="4">
        <v>13</v>
      </c>
    </row>
    <row r="193" spans="1:26" x14ac:dyDescent="0.4">
      <c r="A193" t="s">
        <v>219</v>
      </c>
      <c r="B193" s="4">
        <v>10025</v>
      </c>
      <c r="C193" s="1">
        <v>72460</v>
      </c>
      <c r="D193" t="s">
        <v>32</v>
      </c>
      <c r="E193" t="s">
        <v>10</v>
      </c>
      <c r="F193" s="4">
        <v>2126</v>
      </c>
      <c r="G193" s="2">
        <v>25682</v>
      </c>
      <c r="H193" t="s">
        <v>9</v>
      </c>
      <c r="I193" t="s">
        <v>17</v>
      </c>
      <c r="J193" t="s">
        <v>40</v>
      </c>
      <c r="K193" s="2">
        <v>40920</v>
      </c>
      <c r="L193" s="3">
        <f>DATEDIF(HR_Data[[#This Row],[DOB]],HR_Data[[#This Row],[Date of Hire]],"Y")</f>
        <v>41</v>
      </c>
      <c r="N193" s="4" t="str">
        <f>IFERROR(DATEDIF(HR_Data[[#This Row],[Date of Hire]],HR_Data[[#This Row],[Date of Termination]],"Y"),"")</f>
        <v/>
      </c>
      <c r="O193" t="s">
        <v>6</v>
      </c>
      <c r="P193" t="s">
        <v>5</v>
      </c>
      <c r="Q193" t="s">
        <v>4</v>
      </c>
      <c r="R193" t="s">
        <v>30</v>
      </c>
      <c r="S193" t="s">
        <v>55</v>
      </c>
      <c r="T193" t="s">
        <v>20</v>
      </c>
      <c r="U193" s="5">
        <v>4.7</v>
      </c>
      <c r="V193" s="4">
        <v>3</v>
      </c>
      <c r="W193" s="4">
        <v>0</v>
      </c>
      <c r="X193" s="2">
        <v>43479</v>
      </c>
      <c r="Y193" s="4">
        <v>0</v>
      </c>
      <c r="Z193" s="4">
        <v>1</v>
      </c>
    </row>
    <row r="194" spans="1:26" x14ac:dyDescent="0.4">
      <c r="A194" t="s">
        <v>218</v>
      </c>
      <c r="B194" s="4">
        <v>10223</v>
      </c>
      <c r="C194" s="1">
        <v>72106</v>
      </c>
      <c r="D194" t="s">
        <v>32</v>
      </c>
      <c r="E194" t="s">
        <v>10</v>
      </c>
      <c r="F194" s="4">
        <v>2127</v>
      </c>
      <c r="G194" s="2">
        <v>28097</v>
      </c>
      <c r="H194" t="s">
        <v>31</v>
      </c>
      <c r="I194" t="s">
        <v>17</v>
      </c>
      <c r="J194" t="s">
        <v>40</v>
      </c>
      <c r="K194" s="2">
        <v>40921</v>
      </c>
      <c r="L194" s="3">
        <f>DATEDIF(HR_Data[[#This Row],[DOB]],HR_Data[[#This Row],[Date of Hire]],"Y")</f>
        <v>35</v>
      </c>
      <c r="N194" s="4" t="str">
        <f>IFERROR(DATEDIF(HR_Data[[#This Row],[Date of Hire]],HR_Data[[#This Row],[Date of Termination]],"Y"),"")</f>
        <v/>
      </c>
      <c r="O194" t="s">
        <v>6</v>
      </c>
      <c r="P194" t="s">
        <v>5</v>
      </c>
      <c r="Q194" t="s">
        <v>4</v>
      </c>
      <c r="R194" t="s">
        <v>69</v>
      </c>
      <c r="S194" t="s">
        <v>37</v>
      </c>
      <c r="T194" t="s">
        <v>1</v>
      </c>
      <c r="U194" s="5">
        <v>4.0999999999999996</v>
      </c>
      <c r="V194" s="4">
        <v>4</v>
      </c>
      <c r="W194" s="4">
        <v>0</v>
      </c>
      <c r="X194" s="2">
        <v>43496</v>
      </c>
      <c r="Y194" s="4">
        <v>0</v>
      </c>
      <c r="Z194" s="4">
        <v>12</v>
      </c>
    </row>
    <row r="195" spans="1:26" x14ac:dyDescent="0.4">
      <c r="A195" t="s">
        <v>217</v>
      </c>
      <c r="B195" s="4">
        <v>10151</v>
      </c>
      <c r="C195" s="1">
        <v>52599</v>
      </c>
      <c r="D195" t="s">
        <v>87</v>
      </c>
      <c r="E195" t="s">
        <v>10</v>
      </c>
      <c r="F195" s="4">
        <v>2048</v>
      </c>
      <c r="G195" s="2">
        <v>28949</v>
      </c>
      <c r="H195" t="s">
        <v>9</v>
      </c>
      <c r="I195" t="s">
        <v>47</v>
      </c>
      <c r="J195" t="s">
        <v>16</v>
      </c>
      <c r="K195" s="2">
        <v>40922</v>
      </c>
      <c r="L195" s="3">
        <f>DATEDIF(HR_Data[[#This Row],[DOB]],HR_Data[[#This Row],[Date of Hire]],"Y")</f>
        <v>32</v>
      </c>
      <c r="N195" s="4" t="str">
        <f>IFERROR(DATEDIF(HR_Data[[#This Row],[Date of Hire]],HR_Data[[#This Row],[Date of Termination]],"Y"),"")</f>
        <v/>
      </c>
      <c r="O195" t="s">
        <v>6</v>
      </c>
      <c r="P195" t="s">
        <v>5</v>
      </c>
      <c r="Q195" t="s">
        <v>15</v>
      </c>
      <c r="R195" t="s">
        <v>52</v>
      </c>
      <c r="S195" t="s">
        <v>60</v>
      </c>
      <c r="T195" t="s">
        <v>1</v>
      </c>
      <c r="U195" s="5">
        <v>3.81</v>
      </c>
      <c r="V195" s="4">
        <v>3</v>
      </c>
      <c r="W195" s="4">
        <v>6</v>
      </c>
      <c r="X195" s="2">
        <v>43771</v>
      </c>
      <c r="Y195" s="4">
        <v>0</v>
      </c>
      <c r="Z195" s="4">
        <v>6</v>
      </c>
    </row>
    <row r="196" spans="1:26" x14ac:dyDescent="0.4">
      <c r="A196" t="s">
        <v>216</v>
      </c>
      <c r="B196" s="4">
        <v>10254</v>
      </c>
      <c r="C196" s="1">
        <v>63430</v>
      </c>
      <c r="D196" t="s">
        <v>11</v>
      </c>
      <c r="E196" t="s">
        <v>10</v>
      </c>
      <c r="F196" s="4">
        <v>2453</v>
      </c>
      <c r="G196" s="2">
        <v>30870</v>
      </c>
      <c r="H196" t="s">
        <v>9</v>
      </c>
      <c r="I196" t="s">
        <v>42</v>
      </c>
      <c r="J196" t="s">
        <v>16</v>
      </c>
      <c r="K196" s="2">
        <v>40923</v>
      </c>
      <c r="L196" s="3">
        <f>DATEDIF(HR_Data[[#This Row],[DOB]],HR_Data[[#This Row],[Date of Hire]],"Y")</f>
        <v>27</v>
      </c>
      <c r="N196" s="4" t="str">
        <f>IFERROR(DATEDIF(HR_Data[[#This Row],[Date of Hire]],HR_Data[[#This Row],[Date of Termination]],"Y"),"")</f>
        <v/>
      </c>
      <c r="O196" t="s">
        <v>6</v>
      </c>
      <c r="P196" t="s">
        <v>5</v>
      </c>
      <c r="Q196" t="s">
        <v>4</v>
      </c>
      <c r="R196" t="s">
        <v>61</v>
      </c>
      <c r="S196" t="s">
        <v>2</v>
      </c>
      <c r="T196" t="s">
        <v>1</v>
      </c>
      <c r="U196" s="5">
        <v>4.4000000000000004</v>
      </c>
      <c r="V196" s="4">
        <v>4</v>
      </c>
      <c r="W196" s="4">
        <v>0</v>
      </c>
      <c r="X196" s="2">
        <v>43482</v>
      </c>
      <c r="Y196" s="4">
        <v>0</v>
      </c>
      <c r="Z196" s="4">
        <v>18</v>
      </c>
    </row>
    <row r="197" spans="1:26" x14ac:dyDescent="0.4">
      <c r="A197" t="s">
        <v>215</v>
      </c>
      <c r="B197" s="4">
        <v>10120</v>
      </c>
      <c r="C197" s="1">
        <v>74417</v>
      </c>
      <c r="D197" t="s">
        <v>32</v>
      </c>
      <c r="E197" t="s">
        <v>10</v>
      </c>
      <c r="F197" s="4">
        <v>1460</v>
      </c>
      <c r="G197" s="2">
        <v>27364</v>
      </c>
      <c r="H197" t="s">
        <v>31</v>
      </c>
      <c r="I197" t="s">
        <v>98</v>
      </c>
      <c r="J197" t="s">
        <v>40</v>
      </c>
      <c r="K197" s="2">
        <v>40924</v>
      </c>
      <c r="L197" s="3">
        <f>DATEDIF(HR_Data[[#This Row],[DOB]],HR_Data[[#This Row],[Date of Hire]],"Y")</f>
        <v>37</v>
      </c>
      <c r="N197" s="4" t="str">
        <f>IFERROR(DATEDIF(HR_Data[[#This Row],[Date of Hire]],HR_Data[[#This Row],[Date of Termination]],"Y"),"")</f>
        <v/>
      </c>
      <c r="O197" t="s">
        <v>6</v>
      </c>
      <c r="P197" t="s">
        <v>5</v>
      </c>
      <c r="Q197" t="s">
        <v>4</v>
      </c>
      <c r="R197" t="s">
        <v>67</v>
      </c>
      <c r="S197" t="s">
        <v>2</v>
      </c>
      <c r="T197" t="s">
        <v>1</v>
      </c>
      <c r="U197" s="5">
        <v>4.29</v>
      </c>
      <c r="V197" s="4">
        <v>5</v>
      </c>
      <c r="W197" s="4">
        <v>0</v>
      </c>
      <c r="X197" s="2">
        <v>43493</v>
      </c>
      <c r="Y197" s="4">
        <v>0</v>
      </c>
      <c r="Z197" s="4">
        <v>11</v>
      </c>
    </row>
    <row r="198" spans="1:26" x14ac:dyDescent="0.4">
      <c r="A198" t="s">
        <v>214</v>
      </c>
      <c r="B198" s="4">
        <v>10216</v>
      </c>
      <c r="C198" s="1">
        <v>57575</v>
      </c>
      <c r="D198" t="s">
        <v>11</v>
      </c>
      <c r="E198" t="s">
        <v>10</v>
      </c>
      <c r="F198" s="4">
        <v>1550</v>
      </c>
      <c r="G198" s="2">
        <v>29329</v>
      </c>
      <c r="H198" t="s">
        <v>31</v>
      </c>
      <c r="I198" t="s">
        <v>17</v>
      </c>
      <c r="J198" t="s">
        <v>7</v>
      </c>
      <c r="K198" s="2">
        <v>40925</v>
      </c>
      <c r="L198" s="3">
        <f>DATEDIF(HR_Data[[#This Row],[DOB]],HR_Data[[#This Row],[Date of Hire]],"Y")</f>
        <v>31</v>
      </c>
      <c r="N198" s="4" t="str">
        <f>IFERROR(DATEDIF(HR_Data[[#This Row],[Date of Hire]],HR_Data[[#This Row],[Date of Termination]],"Y"),"")</f>
        <v/>
      </c>
      <c r="O198" t="s">
        <v>6</v>
      </c>
      <c r="P198" t="s">
        <v>5</v>
      </c>
      <c r="Q198" t="s">
        <v>4</v>
      </c>
      <c r="R198" t="s">
        <v>30</v>
      </c>
      <c r="S198" t="s">
        <v>2</v>
      </c>
      <c r="T198" t="s">
        <v>1</v>
      </c>
      <c r="U198" s="5">
        <v>4.0999999999999996</v>
      </c>
      <c r="V198" s="4">
        <v>4</v>
      </c>
      <c r="W198" s="4">
        <v>0</v>
      </c>
      <c r="X198" s="2">
        <v>43487</v>
      </c>
      <c r="Y198" s="4">
        <v>0</v>
      </c>
      <c r="Z198" s="4">
        <v>13</v>
      </c>
    </row>
    <row r="199" spans="1:26" x14ac:dyDescent="0.4">
      <c r="A199" t="s">
        <v>213</v>
      </c>
      <c r="B199" s="4">
        <v>10079</v>
      </c>
      <c r="C199" s="1">
        <v>87921</v>
      </c>
      <c r="D199" t="s">
        <v>57</v>
      </c>
      <c r="E199" t="s">
        <v>10</v>
      </c>
      <c r="F199" s="4">
        <v>2056</v>
      </c>
      <c r="G199" s="2">
        <v>25683</v>
      </c>
      <c r="H199" t="s">
        <v>31</v>
      </c>
      <c r="I199" t="s">
        <v>17</v>
      </c>
      <c r="J199" t="s">
        <v>7</v>
      </c>
      <c r="K199" s="2">
        <v>40926</v>
      </c>
      <c r="L199" s="3">
        <f>DATEDIF(HR_Data[[#This Row],[DOB]],HR_Data[[#This Row],[Date of Hire]],"Y")</f>
        <v>41</v>
      </c>
      <c r="N199" s="4" t="str">
        <f>IFERROR(DATEDIF(HR_Data[[#This Row],[Date of Hire]],HR_Data[[#This Row],[Date of Termination]],"Y"),"")</f>
        <v/>
      </c>
      <c r="O199" t="s">
        <v>6</v>
      </c>
      <c r="P199" t="s">
        <v>5</v>
      </c>
      <c r="Q199" t="s">
        <v>15</v>
      </c>
      <c r="R199" t="s">
        <v>56</v>
      </c>
      <c r="S199" t="s">
        <v>55</v>
      </c>
      <c r="T199" t="s">
        <v>1</v>
      </c>
      <c r="U199" s="5">
        <v>5</v>
      </c>
      <c r="V199" s="4">
        <v>3</v>
      </c>
      <c r="W199" s="4">
        <v>6</v>
      </c>
      <c r="X199" s="2">
        <v>43521</v>
      </c>
      <c r="Y199" s="4">
        <v>0</v>
      </c>
      <c r="Z199" s="4">
        <v>17</v>
      </c>
    </row>
    <row r="200" spans="1:26" x14ac:dyDescent="0.4">
      <c r="A200" t="s">
        <v>212</v>
      </c>
      <c r="B200" s="4">
        <v>10215</v>
      </c>
      <c r="C200" s="1">
        <v>50470</v>
      </c>
      <c r="D200" t="s">
        <v>11</v>
      </c>
      <c r="E200" t="s">
        <v>10</v>
      </c>
      <c r="F200" s="4">
        <v>2110</v>
      </c>
      <c r="G200" s="2">
        <v>32630</v>
      </c>
      <c r="H200" t="s">
        <v>31</v>
      </c>
      <c r="I200" t="s">
        <v>17</v>
      </c>
      <c r="J200" t="s">
        <v>40</v>
      </c>
      <c r="K200" s="2">
        <v>40927</v>
      </c>
      <c r="L200" s="3">
        <f>DATEDIF(HR_Data[[#This Row],[DOB]],HR_Data[[#This Row],[Date of Hire]],"Y")</f>
        <v>22</v>
      </c>
      <c r="M200" s="2">
        <v>41733</v>
      </c>
      <c r="N200" s="4">
        <f>IFERROR(DATEDIF(HR_Data[[#This Row],[Date of Hire]],HR_Data[[#This Row],[Date of Termination]],"Y"),"")</f>
        <v>2</v>
      </c>
      <c r="O200" t="s">
        <v>105</v>
      </c>
      <c r="P200" t="s">
        <v>27</v>
      </c>
      <c r="Q200" t="s">
        <v>4</v>
      </c>
      <c r="R200" t="s">
        <v>49</v>
      </c>
      <c r="S200" t="s">
        <v>37</v>
      </c>
      <c r="T200" t="s">
        <v>1</v>
      </c>
      <c r="U200" s="5">
        <v>4.3</v>
      </c>
      <c r="V200" s="4">
        <v>3</v>
      </c>
      <c r="W200" s="4">
        <v>0</v>
      </c>
      <c r="X200" s="2">
        <v>41308</v>
      </c>
      <c r="Y200" s="4">
        <v>0</v>
      </c>
      <c r="Z200" s="4">
        <v>19</v>
      </c>
    </row>
    <row r="201" spans="1:26" x14ac:dyDescent="0.4">
      <c r="A201" t="s">
        <v>211</v>
      </c>
      <c r="B201" s="4">
        <v>10185</v>
      </c>
      <c r="C201" s="1">
        <v>46664</v>
      </c>
      <c r="D201" t="s">
        <v>11</v>
      </c>
      <c r="E201" t="s">
        <v>10</v>
      </c>
      <c r="F201" s="4">
        <v>2421</v>
      </c>
      <c r="G201" s="2">
        <v>30403</v>
      </c>
      <c r="H201" t="s">
        <v>31</v>
      </c>
      <c r="I201" t="s">
        <v>47</v>
      </c>
      <c r="J201" t="s">
        <v>16</v>
      </c>
      <c r="K201" s="2">
        <v>40928</v>
      </c>
      <c r="L201" s="3">
        <f>DATEDIF(HR_Data[[#This Row],[DOB]],HR_Data[[#This Row],[Date of Hire]],"Y")</f>
        <v>28</v>
      </c>
      <c r="M201" s="2">
        <v>42515</v>
      </c>
      <c r="N201" s="4">
        <f>IFERROR(DATEDIF(HR_Data[[#This Row],[Date of Hire]],HR_Data[[#This Row],[Date of Termination]],"Y"),"")</f>
        <v>4</v>
      </c>
      <c r="O201" t="s">
        <v>175</v>
      </c>
      <c r="P201" t="s">
        <v>27</v>
      </c>
      <c r="Q201" t="s">
        <v>4</v>
      </c>
      <c r="R201" t="s">
        <v>45</v>
      </c>
      <c r="S201" t="s">
        <v>13</v>
      </c>
      <c r="T201" t="s">
        <v>1</v>
      </c>
      <c r="U201" s="5">
        <v>3.18</v>
      </c>
      <c r="V201" s="4">
        <v>3</v>
      </c>
      <c r="W201" s="4">
        <v>0</v>
      </c>
      <c r="X201" s="2">
        <v>42524</v>
      </c>
      <c r="Y201" s="4">
        <v>0</v>
      </c>
      <c r="Z201" s="4">
        <v>10</v>
      </c>
    </row>
    <row r="202" spans="1:26" x14ac:dyDescent="0.4">
      <c r="A202" t="s">
        <v>210</v>
      </c>
      <c r="B202" s="4">
        <v>10063</v>
      </c>
      <c r="C202" s="1">
        <v>48495</v>
      </c>
      <c r="D202" t="s">
        <v>11</v>
      </c>
      <c r="E202" t="s">
        <v>10</v>
      </c>
      <c r="F202" s="4">
        <v>2136</v>
      </c>
      <c r="G202" s="2">
        <v>28223</v>
      </c>
      <c r="H202" t="s">
        <v>31</v>
      </c>
      <c r="I202" t="s">
        <v>47</v>
      </c>
      <c r="J202" t="s">
        <v>16</v>
      </c>
      <c r="K202" s="2">
        <v>40929</v>
      </c>
      <c r="L202" s="3">
        <f>DATEDIF(HR_Data[[#This Row],[DOB]],HR_Data[[#This Row],[Date of Hire]],"Y")</f>
        <v>34</v>
      </c>
      <c r="N202" s="4" t="str">
        <f>IFERROR(DATEDIF(HR_Data[[#This Row],[Date of Hire]],HR_Data[[#This Row],[Date of Termination]],"Y"),"")</f>
        <v/>
      </c>
      <c r="O202" t="s">
        <v>6</v>
      </c>
      <c r="P202" t="s">
        <v>5</v>
      </c>
      <c r="Q202" t="s">
        <v>4</v>
      </c>
      <c r="R202" t="s">
        <v>38</v>
      </c>
      <c r="S202" t="s">
        <v>2</v>
      </c>
      <c r="T202" t="s">
        <v>1</v>
      </c>
      <c r="U202" s="5">
        <v>5</v>
      </c>
      <c r="V202" s="4">
        <v>5</v>
      </c>
      <c r="W202" s="4">
        <v>0</v>
      </c>
      <c r="X202" s="2">
        <v>43514</v>
      </c>
      <c r="Y202" s="4">
        <v>0</v>
      </c>
      <c r="Z202" s="4">
        <v>11</v>
      </c>
    </row>
    <row r="203" spans="1:26" x14ac:dyDescent="0.4">
      <c r="A203" t="s">
        <v>209</v>
      </c>
      <c r="B203" s="4">
        <v>10037</v>
      </c>
      <c r="C203" s="1">
        <v>52984</v>
      </c>
      <c r="D203" t="s">
        <v>11</v>
      </c>
      <c r="E203" t="s">
        <v>10</v>
      </c>
      <c r="F203" s="4">
        <v>1810</v>
      </c>
      <c r="G203" s="2">
        <v>24626</v>
      </c>
      <c r="H203" t="s">
        <v>9</v>
      </c>
      <c r="I203" t="s">
        <v>98</v>
      </c>
      <c r="J203" t="s">
        <v>40</v>
      </c>
      <c r="K203" s="2">
        <v>40930</v>
      </c>
      <c r="L203" s="3">
        <f>DATEDIF(HR_Data[[#This Row],[DOB]],HR_Data[[#This Row],[Date of Hire]],"Y")</f>
        <v>44</v>
      </c>
      <c r="N203" s="4" t="str">
        <f>IFERROR(DATEDIF(HR_Data[[#This Row],[Date of Hire]],HR_Data[[#This Row],[Date of Termination]],"Y"),"")</f>
        <v/>
      </c>
      <c r="O203" t="s">
        <v>6</v>
      </c>
      <c r="P203" t="s">
        <v>5</v>
      </c>
      <c r="Q203" t="s">
        <v>4</v>
      </c>
      <c r="R203" t="s">
        <v>26</v>
      </c>
      <c r="S203" t="s">
        <v>37</v>
      </c>
      <c r="T203" t="s">
        <v>20</v>
      </c>
      <c r="U203" s="5">
        <v>4</v>
      </c>
      <c r="V203" s="4">
        <v>3</v>
      </c>
      <c r="W203" s="4">
        <v>0</v>
      </c>
      <c r="X203" s="2">
        <v>43509</v>
      </c>
      <c r="Y203" s="4">
        <v>0</v>
      </c>
      <c r="Z203" s="4">
        <v>12</v>
      </c>
    </row>
    <row r="204" spans="1:26" x14ac:dyDescent="0.4">
      <c r="A204" t="s">
        <v>208</v>
      </c>
      <c r="B204" s="4">
        <v>10042</v>
      </c>
      <c r="C204" s="1">
        <v>63695</v>
      </c>
      <c r="D204" t="s">
        <v>79</v>
      </c>
      <c r="E204" t="s">
        <v>207</v>
      </c>
      <c r="F204" s="4">
        <v>30428</v>
      </c>
      <c r="G204" s="2">
        <v>32598</v>
      </c>
      <c r="H204" t="s">
        <v>9</v>
      </c>
      <c r="I204" t="s">
        <v>17</v>
      </c>
      <c r="J204" t="s">
        <v>84</v>
      </c>
      <c r="K204" s="2">
        <v>40931</v>
      </c>
      <c r="L204" s="3">
        <f>DATEDIF(HR_Data[[#This Row],[DOB]],HR_Data[[#This Row],[Date of Hire]],"Y")</f>
        <v>22</v>
      </c>
      <c r="N204" s="4" t="str">
        <f>IFERROR(DATEDIF(HR_Data[[#This Row],[Date of Hire]],HR_Data[[#This Row],[Date of Termination]],"Y"),"")</f>
        <v/>
      </c>
      <c r="O204" t="s">
        <v>6</v>
      </c>
      <c r="P204" t="s">
        <v>5</v>
      </c>
      <c r="Q204" t="s">
        <v>77</v>
      </c>
      <c r="R204" t="s">
        <v>97</v>
      </c>
      <c r="S204" t="s">
        <v>55</v>
      </c>
      <c r="T204" t="s">
        <v>1</v>
      </c>
      <c r="U204" s="5">
        <v>5</v>
      </c>
      <c r="V204" s="4">
        <v>5</v>
      </c>
      <c r="W204" s="4">
        <v>0</v>
      </c>
      <c r="X204" s="2">
        <v>43490</v>
      </c>
      <c r="Y204" s="4">
        <v>0</v>
      </c>
      <c r="Z204" s="4">
        <v>2</v>
      </c>
    </row>
    <row r="205" spans="1:26" x14ac:dyDescent="0.4">
      <c r="A205" t="s">
        <v>206</v>
      </c>
      <c r="B205" s="4">
        <v>10206</v>
      </c>
      <c r="C205" s="1">
        <v>62061</v>
      </c>
      <c r="D205" t="s">
        <v>11</v>
      </c>
      <c r="E205" t="s">
        <v>10</v>
      </c>
      <c r="F205" s="4">
        <v>2132</v>
      </c>
      <c r="G205" s="2">
        <v>30870</v>
      </c>
      <c r="H205" t="s">
        <v>9</v>
      </c>
      <c r="I205" t="s">
        <v>17</v>
      </c>
      <c r="J205" t="s">
        <v>16</v>
      </c>
      <c r="K205" s="2">
        <v>40932</v>
      </c>
      <c r="L205" s="3">
        <f>DATEDIF(HR_Data[[#This Row],[DOB]],HR_Data[[#This Row],[Date of Hire]],"Y")</f>
        <v>27</v>
      </c>
      <c r="N205" s="4" t="str">
        <f>IFERROR(DATEDIF(HR_Data[[#This Row],[Date of Hire]],HR_Data[[#This Row],[Date of Termination]],"Y"),"")</f>
        <v/>
      </c>
      <c r="O205" t="s">
        <v>6</v>
      </c>
      <c r="P205" t="s">
        <v>5</v>
      </c>
      <c r="Q205" t="s">
        <v>4</v>
      </c>
      <c r="R205" t="s">
        <v>3</v>
      </c>
      <c r="S205" t="s">
        <v>2</v>
      </c>
      <c r="T205" t="s">
        <v>1</v>
      </c>
      <c r="U205" s="5">
        <v>3.6</v>
      </c>
      <c r="V205" s="4">
        <v>5</v>
      </c>
      <c r="W205" s="4">
        <v>0</v>
      </c>
      <c r="X205" s="2">
        <v>43497</v>
      </c>
      <c r="Y205" s="4">
        <v>0</v>
      </c>
      <c r="Z205" s="4">
        <v>4</v>
      </c>
    </row>
    <row r="206" spans="1:26" x14ac:dyDescent="0.4">
      <c r="A206" t="s">
        <v>205</v>
      </c>
      <c r="B206" s="4">
        <v>10104</v>
      </c>
      <c r="C206" s="1">
        <v>66738</v>
      </c>
      <c r="D206" t="s">
        <v>32</v>
      </c>
      <c r="E206" t="s">
        <v>10</v>
      </c>
      <c r="F206" s="4">
        <v>1040</v>
      </c>
      <c r="G206" s="2">
        <v>31374</v>
      </c>
      <c r="H206" t="s">
        <v>9</v>
      </c>
      <c r="I206" t="s">
        <v>17</v>
      </c>
      <c r="J206" t="s">
        <v>16</v>
      </c>
      <c r="K206" s="2">
        <v>40933</v>
      </c>
      <c r="L206" s="3">
        <f>DATEDIF(HR_Data[[#This Row],[DOB]],HR_Data[[#This Row],[Date of Hire]],"Y")</f>
        <v>26</v>
      </c>
      <c r="N206" s="4" t="str">
        <f>IFERROR(DATEDIF(HR_Data[[#This Row],[Date of Hire]],HR_Data[[#This Row],[Date of Termination]],"Y"),"")</f>
        <v/>
      </c>
      <c r="O206" t="s">
        <v>6</v>
      </c>
      <c r="P206" t="s">
        <v>5</v>
      </c>
      <c r="Q206" t="s">
        <v>4</v>
      </c>
      <c r="R206" t="s">
        <v>61</v>
      </c>
      <c r="S206" t="s">
        <v>55</v>
      </c>
      <c r="T206" t="s">
        <v>1</v>
      </c>
      <c r="U206" s="5">
        <v>4.53</v>
      </c>
      <c r="V206" s="4">
        <v>5</v>
      </c>
      <c r="W206" s="4">
        <v>0</v>
      </c>
      <c r="X206" s="2">
        <v>43481</v>
      </c>
      <c r="Y206" s="4">
        <v>0</v>
      </c>
      <c r="Z206" s="4">
        <v>5</v>
      </c>
    </row>
    <row r="207" spans="1:26" x14ac:dyDescent="0.4">
      <c r="A207" t="s">
        <v>204</v>
      </c>
      <c r="B207" s="4">
        <v>10303</v>
      </c>
      <c r="C207" s="1">
        <v>52674</v>
      </c>
      <c r="D207" t="s">
        <v>11</v>
      </c>
      <c r="E207" t="s">
        <v>10</v>
      </c>
      <c r="F207" s="4">
        <v>2152</v>
      </c>
      <c r="G207" s="2">
        <v>29494</v>
      </c>
      <c r="H207" t="s">
        <v>9</v>
      </c>
      <c r="I207" t="s">
        <v>17</v>
      </c>
      <c r="J207" t="s">
        <v>84</v>
      </c>
      <c r="K207" s="2">
        <v>40934</v>
      </c>
      <c r="L207" s="3">
        <f>DATEDIF(HR_Data[[#This Row],[DOB]],HR_Data[[#This Row],[Date of Hire]],"Y")</f>
        <v>31</v>
      </c>
      <c r="M207" s="2">
        <v>43221</v>
      </c>
      <c r="N207" s="4">
        <f>IFERROR(DATEDIF(HR_Data[[#This Row],[Date of Hire]],HR_Data[[#This Row],[Date of Termination]],"Y"),"")</f>
        <v>6</v>
      </c>
      <c r="O207" t="s">
        <v>193</v>
      </c>
      <c r="P207" t="s">
        <v>70</v>
      </c>
      <c r="Q207" t="s">
        <v>4</v>
      </c>
      <c r="R207" t="s">
        <v>30</v>
      </c>
      <c r="S207" t="s">
        <v>2</v>
      </c>
      <c r="T207" t="s">
        <v>24</v>
      </c>
      <c r="U207" s="5">
        <v>2.33</v>
      </c>
      <c r="V207" s="4">
        <v>2</v>
      </c>
      <c r="W207" s="4">
        <v>0</v>
      </c>
      <c r="X207" s="2">
        <v>43346</v>
      </c>
      <c r="Y207" s="4">
        <v>6</v>
      </c>
      <c r="Z207" s="4">
        <v>3</v>
      </c>
    </row>
    <row r="208" spans="1:26" x14ac:dyDescent="0.4">
      <c r="A208" t="s">
        <v>203</v>
      </c>
      <c r="B208" s="4">
        <v>10078</v>
      </c>
      <c r="C208" s="1">
        <v>71966</v>
      </c>
      <c r="D208" t="s">
        <v>32</v>
      </c>
      <c r="E208" t="s">
        <v>10</v>
      </c>
      <c r="F208" s="4">
        <v>2492</v>
      </c>
      <c r="G208" s="2">
        <v>19035</v>
      </c>
      <c r="H208" t="s">
        <v>9</v>
      </c>
      <c r="I208" t="s">
        <v>47</v>
      </c>
      <c r="J208" t="s">
        <v>7</v>
      </c>
      <c r="K208" s="2">
        <v>40935</v>
      </c>
      <c r="L208" s="3">
        <f>DATEDIF(HR_Data[[#This Row],[DOB]],HR_Data[[#This Row],[Date of Hire]],"Y")</f>
        <v>59</v>
      </c>
      <c r="M208" s="2">
        <v>41505</v>
      </c>
      <c r="N208" s="4">
        <f>IFERROR(DATEDIF(HR_Data[[#This Row],[Date of Hire]],HR_Data[[#This Row],[Date of Termination]],"Y"),"")</f>
        <v>1</v>
      </c>
      <c r="O208" t="s">
        <v>46</v>
      </c>
      <c r="P208" t="s">
        <v>27</v>
      </c>
      <c r="Q208" t="s">
        <v>4</v>
      </c>
      <c r="R208" t="s">
        <v>49</v>
      </c>
      <c r="S208" t="s">
        <v>2</v>
      </c>
      <c r="T208" t="s">
        <v>1</v>
      </c>
      <c r="U208" s="5">
        <v>5</v>
      </c>
      <c r="V208" s="4">
        <v>3</v>
      </c>
      <c r="W208" s="4">
        <v>0</v>
      </c>
      <c r="X208" s="2">
        <v>41312</v>
      </c>
      <c r="Y208" s="4">
        <v>0</v>
      </c>
      <c r="Z208" s="4">
        <v>17</v>
      </c>
    </row>
    <row r="209" spans="1:26" x14ac:dyDescent="0.4">
      <c r="A209" t="s">
        <v>202</v>
      </c>
      <c r="B209" s="4">
        <v>10121</v>
      </c>
      <c r="C209" s="1">
        <v>63051</v>
      </c>
      <c r="D209" t="s">
        <v>79</v>
      </c>
      <c r="E209" t="s">
        <v>201</v>
      </c>
      <c r="F209" s="4">
        <v>33174</v>
      </c>
      <c r="G209" s="2">
        <v>33004</v>
      </c>
      <c r="H209" t="s">
        <v>9</v>
      </c>
      <c r="I209" t="s">
        <v>17</v>
      </c>
      <c r="J209" t="s">
        <v>16</v>
      </c>
      <c r="K209" s="2">
        <v>40936</v>
      </c>
      <c r="L209" s="3">
        <f>DATEDIF(HR_Data[[#This Row],[DOB]],HR_Data[[#This Row],[Date of Hire]],"Y")</f>
        <v>21</v>
      </c>
      <c r="N209" s="4" t="str">
        <f>IFERROR(DATEDIF(HR_Data[[#This Row],[Date of Hire]],HR_Data[[#This Row],[Date of Termination]],"Y"),"")</f>
        <v/>
      </c>
      <c r="O209" t="s">
        <v>6</v>
      </c>
      <c r="P209" t="s">
        <v>5</v>
      </c>
      <c r="Q209" t="s">
        <v>77</v>
      </c>
      <c r="R209" t="s">
        <v>97</v>
      </c>
      <c r="S209" t="s">
        <v>55</v>
      </c>
      <c r="T209" t="s">
        <v>1</v>
      </c>
      <c r="U209" s="5">
        <v>4.28</v>
      </c>
      <c r="V209" s="4">
        <v>3</v>
      </c>
      <c r="W209" s="4">
        <v>0</v>
      </c>
      <c r="X209" s="2">
        <v>43490</v>
      </c>
      <c r="Y209" s="4">
        <v>0</v>
      </c>
      <c r="Z209" s="4">
        <v>1</v>
      </c>
    </row>
    <row r="210" spans="1:26" x14ac:dyDescent="0.4">
      <c r="A210" t="s">
        <v>200</v>
      </c>
      <c r="B210" s="4">
        <v>10021</v>
      </c>
      <c r="C210" s="1">
        <v>47414</v>
      </c>
      <c r="D210" t="s">
        <v>11</v>
      </c>
      <c r="E210" t="s">
        <v>10</v>
      </c>
      <c r="F210" s="4">
        <v>2478</v>
      </c>
      <c r="G210" s="2">
        <v>28105</v>
      </c>
      <c r="H210" t="s">
        <v>31</v>
      </c>
      <c r="I210" t="s">
        <v>47</v>
      </c>
      <c r="J210" t="s">
        <v>16</v>
      </c>
      <c r="K210" s="2">
        <v>40937</v>
      </c>
      <c r="L210" s="3">
        <f>DATEDIF(HR_Data[[#This Row],[DOB]],HR_Data[[#This Row],[Date of Hire]],"Y")</f>
        <v>35</v>
      </c>
      <c r="N210" s="4" t="str">
        <f>IFERROR(DATEDIF(HR_Data[[#This Row],[Date of Hire]],HR_Data[[#This Row],[Date of Termination]],"Y"),"")</f>
        <v/>
      </c>
      <c r="O210" t="s">
        <v>6</v>
      </c>
      <c r="P210" t="s">
        <v>5</v>
      </c>
      <c r="Q210" t="s">
        <v>4</v>
      </c>
      <c r="R210" t="s">
        <v>69</v>
      </c>
      <c r="S210" t="s">
        <v>2</v>
      </c>
      <c r="T210" t="s">
        <v>20</v>
      </c>
      <c r="U210" s="5">
        <v>5</v>
      </c>
      <c r="V210" s="4">
        <v>3</v>
      </c>
      <c r="W210" s="4">
        <v>0</v>
      </c>
      <c r="X210" s="2">
        <v>43648</v>
      </c>
      <c r="Y210" s="4">
        <v>0</v>
      </c>
      <c r="Z210" s="4">
        <v>13</v>
      </c>
    </row>
    <row r="211" spans="1:26" x14ac:dyDescent="0.4">
      <c r="A211" t="s">
        <v>199</v>
      </c>
      <c r="B211" s="4">
        <v>10281</v>
      </c>
      <c r="C211" s="1">
        <v>53060</v>
      </c>
      <c r="D211" t="s">
        <v>11</v>
      </c>
      <c r="E211" t="s">
        <v>10</v>
      </c>
      <c r="F211" s="4">
        <v>1760</v>
      </c>
      <c r="G211" s="2">
        <v>29183</v>
      </c>
      <c r="H211" t="s">
        <v>31</v>
      </c>
      <c r="I211" t="s">
        <v>17</v>
      </c>
      <c r="J211" t="s">
        <v>40</v>
      </c>
      <c r="K211" s="2">
        <v>40938</v>
      </c>
      <c r="L211" s="3">
        <f>DATEDIF(HR_Data[[#This Row],[DOB]],HR_Data[[#This Row],[Date of Hire]],"Y")</f>
        <v>32</v>
      </c>
      <c r="N211" s="4" t="str">
        <f>IFERROR(DATEDIF(HR_Data[[#This Row],[Date of Hire]],HR_Data[[#This Row],[Date of Termination]],"Y"),"")</f>
        <v/>
      </c>
      <c r="O211" t="s">
        <v>6</v>
      </c>
      <c r="P211" t="s">
        <v>5</v>
      </c>
      <c r="Q211" t="s">
        <v>4</v>
      </c>
      <c r="R211" t="s">
        <v>67</v>
      </c>
      <c r="S211" t="s">
        <v>2</v>
      </c>
      <c r="T211" t="s">
        <v>59</v>
      </c>
      <c r="U211" s="5">
        <v>4.25</v>
      </c>
      <c r="V211" s="4">
        <v>3</v>
      </c>
      <c r="W211" s="4">
        <v>0</v>
      </c>
      <c r="X211" s="2">
        <v>43557</v>
      </c>
      <c r="Y211" s="4">
        <v>4</v>
      </c>
      <c r="Z211" s="4">
        <v>6</v>
      </c>
    </row>
    <row r="212" spans="1:26" x14ac:dyDescent="0.4">
      <c r="A212" t="s">
        <v>198</v>
      </c>
      <c r="B212" s="4">
        <v>10041</v>
      </c>
      <c r="C212" s="1">
        <v>68829</v>
      </c>
      <c r="D212" t="s">
        <v>79</v>
      </c>
      <c r="E212" t="s">
        <v>197</v>
      </c>
      <c r="F212" s="4">
        <v>27229</v>
      </c>
      <c r="G212" s="2">
        <v>30090</v>
      </c>
      <c r="H212" t="s">
        <v>31</v>
      </c>
      <c r="I212" t="s">
        <v>17</v>
      </c>
      <c r="J212" t="s">
        <v>16</v>
      </c>
      <c r="K212" s="2">
        <v>40939</v>
      </c>
      <c r="L212" s="3">
        <f>DATEDIF(HR_Data[[#This Row],[DOB]],HR_Data[[#This Row],[Date of Hire]],"Y")</f>
        <v>29</v>
      </c>
      <c r="N212" s="4" t="str">
        <f>IFERROR(DATEDIF(HR_Data[[#This Row],[Date of Hire]],HR_Data[[#This Row],[Date of Termination]],"Y"),"")</f>
        <v/>
      </c>
      <c r="O212" t="s">
        <v>6</v>
      </c>
      <c r="P212" t="s">
        <v>5</v>
      </c>
      <c r="Q212" t="s">
        <v>77</v>
      </c>
      <c r="R212" t="s">
        <v>76</v>
      </c>
      <c r="S212" t="s">
        <v>44</v>
      </c>
      <c r="T212" t="s">
        <v>1</v>
      </c>
      <c r="U212" s="5">
        <v>5</v>
      </c>
      <c r="V212" s="4">
        <v>5</v>
      </c>
      <c r="W212" s="4">
        <v>0</v>
      </c>
      <c r="X212" s="2">
        <v>43479</v>
      </c>
      <c r="Y212" s="4">
        <v>0</v>
      </c>
      <c r="Z212" s="4">
        <v>18</v>
      </c>
    </row>
    <row r="213" spans="1:26" x14ac:dyDescent="0.4">
      <c r="A213" t="s">
        <v>196</v>
      </c>
      <c r="B213" s="4">
        <v>10148</v>
      </c>
      <c r="C213" s="1">
        <v>63515</v>
      </c>
      <c r="D213" t="s">
        <v>11</v>
      </c>
      <c r="E213" t="s">
        <v>10</v>
      </c>
      <c r="F213" s="4">
        <v>2351</v>
      </c>
      <c r="G213" s="2">
        <v>28976</v>
      </c>
      <c r="H213" t="s">
        <v>9</v>
      </c>
      <c r="I213" t="s">
        <v>47</v>
      </c>
      <c r="J213" t="s">
        <v>16</v>
      </c>
      <c r="K213" s="2">
        <v>40940</v>
      </c>
      <c r="L213" s="3">
        <f>DATEDIF(HR_Data[[#This Row],[DOB]],HR_Data[[#This Row],[Date of Hire]],"Y")</f>
        <v>32</v>
      </c>
      <c r="M213" s="2">
        <v>41651</v>
      </c>
      <c r="N213" s="4">
        <f>IFERROR(DATEDIF(HR_Data[[#This Row],[Date of Hire]],HR_Data[[#This Row],[Date of Termination]],"Y"),"")</f>
        <v>1</v>
      </c>
      <c r="O213" t="s">
        <v>28</v>
      </c>
      <c r="P213" t="s">
        <v>27</v>
      </c>
      <c r="Q213" t="s">
        <v>4</v>
      </c>
      <c r="R213" t="s">
        <v>61</v>
      </c>
      <c r="S213" t="s">
        <v>25</v>
      </c>
      <c r="T213" t="s">
        <v>1</v>
      </c>
      <c r="U213" s="5">
        <v>3.89</v>
      </c>
      <c r="V213" s="4">
        <v>4</v>
      </c>
      <c r="W213" s="4">
        <v>0</v>
      </c>
      <c r="X213" s="2">
        <v>41367</v>
      </c>
      <c r="Y213" s="4">
        <v>0</v>
      </c>
      <c r="Z213" s="4">
        <v>7</v>
      </c>
    </row>
    <row r="214" spans="1:26" x14ac:dyDescent="0.4">
      <c r="A214" t="s">
        <v>195</v>
      </c>
      <c r="B214" s="4">
        <v>10005</v>
      </c>
      <c r="C214" s="1">
        <v>108987</v>
      </c>
      <c r="D214" t="s">
        <v>93</v>
      </c>
      <c r="E214" t="s">
        <v>10</v>
      </c>
      <c r="F214" s="4">
        <v>1844</v>
      </c>
      <c r="G214" s="2">
        <v>28906</v>
      </c>
      <c r="H214" t="s">
        <v>31</v>
      </c>
      <c r="I214" t="s">
        <v>17</v>
      </c>
      <c r="J214" t="s">
        <v>40</v>
      </c>
      <c r="K214" s="2">
        <v>40941</v>
      </c>
      <c r="L214" s="3">
        <f>DATEDIF(HR_Data[[#This Row],[DOB]],HR_Data[[#This Row],[Date of Hire]],"Y")</f>
        <v>32</v>
      </c>
      <c r="M214" s="2">
        <v>42254</v>
      </c>
      <c r="N214" s="4">
        <f>IFERROR(DATEDIF(HR_Data[[#This Row],[Date of Hire]],HR_Data[[#This Row],[Date of Termination]],"Y"),"")</f>
        <v>3</v>
      </c>
      <c r="O214" t="s">
        <v>28</v>
      </c>
      <c r="P214" t="s">
        <v>27</v>
      </c>
      <c r="Q214" t="s">
        <v>91</v>
      </c>
      <c r="R214" t="s">
        <v>90</v>
      </c>
      <c r="S214" t="s">
        <v>37</v>
      </c>
      <c r="T214" t="s">
        <v>20</v>
      </c>
      <c r="U214" s="5">
        <v>5</v>
      </c>
      <c r="V214" s="4">
        <v>5</v>
      </c>
      <c r="W214" s="4">
        <v>3</v>
      </c>
      <c r="X214" s="2">
        <v>42232</v>
      </c>
      <c r="Y214" s="4">
        <v>0</v>
      </c>
      <c r="Z214" s="4">
        <v>13</v>
      </c>
    </row>
    <row r="215" spans="1:26" x14ac:dyDescent="0.4">
      <c r="A215" t="s">
        <v>194</v>
      </c>
      <c r="B215" s="4">
        <v>10259</v>
      </c>
      <c r="C215" s="1">
        <v>93093</v>
      </c>
      <c r="D215" t="s">
        <v>18</v>
      </c>
      <c r="E215" t="s">
        <v>10</v>
      </c>
      <c r="F215" s="4">
        <v>2747</v>
      </c>
      <c r="G215" s="2">
        <v>30930</v>
      </c>
      <c r="H215" t="s">
        <v>31</v>
      </c>
      <c r="I215" t="s">
        <v>47</v>
      </c>
      <c r="J215" t="s">
        <v>16</v>
      </c>
      <c r="K215" s="2">
        <v>40942</v>
      </c>
      <c r="L215" s="3">
        <f>DATEDIF(HR_Data[[#This Row],[DOB]],HR_Data[[#This Row],[Date of Hire]],"Y")</f>
        <v>27</v>
      </c>
      <c r="M215" s="2">
        <v>42491</v>
      </c>
      <c r="N215" s="4">
        <f>IFERROR(DATEDIF(HR_Data[[#This Row],[Date of Hire]],HR_Data[[#This Row],[Date of Termination]],"Y"),"")</f>
        <v>4</v>
      </c>
      <c r="O215" t="s">
        <v>193</v>
      </c>
      <c r="P215" t="s">
        <v>27</v>
      </c>
      <c r="Q215" t="s">
        <v>15</v>
      </c>
      <c r="R215" t="s">
        <v>14</v>
      </c>
      <c r="S215" t="s">
        <v>13</v>
      </c>
      <c r="T215" t="s">
        <v>1</v>
      </c>
      <c r="U215" s="5">
        <v>4.7</v>
      </c>
      <c r="V215" s="4">
        <v>4</v>
      </c>
      <c r="W215" s="4">
        <v>5</v>
      </c>
      <c r="X215" s="2">
        <v>42385</v>
      </c>
      <c r="Y215" s="4">
        <v>0</v>
      </c>
      <c r="Z215" s="4">
        <v>19</v>
      </c>
    </row>
    <row r="216" spans="1:26" x14ac:dyDescent="0.4">
      <c r="A216" t="s">
        <v>192</v>
      </c>
      <c r="B216" s="4">
        <v>10286</v>
      </c>
      <c r="C216" s="1">
        <v>53564</v>
      </c>
      <c r="D216" t="s">
        <v>11</v>
      </c>
      <c r="E216" t="s">
        <v>10</v>
      </c>
      <c r="F216" s="4">
        <v>2458</v>
      </c>
      <c r="G216" s="2">
        <v>32219</v>
      </c>
      <c r="H216" t="s">
        <v>31</v>
      </c>
      <c r="I216" t="s">
        <v>17</v>
      </c>
      <c r="J216" t="s">
        <v>40</v>
      </c>
      <c r="K216" s="2">
        <v>40943</v>
      </c>
      <c r="L216" s="3">
        <f>DATEDIF(HR_Data[[#This Row],[DOB]],HR_Data[[#This Row],[Date of Hire]],"Y")</f>
        <v>23</v>
      </c>
      <c r="M216" s="2">
        <v>43097</v>
      </c>
      <c r="N216" s="4">
        <f>IFERROR(DATEDIF(HR_Data[[#This Row],[Date of Hire]],HR_Data[[#This Row],[Date of Termination]],"Y"),"")</f>
        <v>5</v>
      </c>
      <c r="O216" t="s">
        <v>62</v>
      </c>
      <c r="P216" t="s">
        <v>27</v>
      </c>
      <c r="Q216" t="s">
        <v>4</v>
      </c>
      <c r="R216" t="s">
        <v>49</v>
      </c>
      <c r="S216" t="s">
        <v>25</v>
      </c>
      <c r="T216" t="s">
        <v>59</v>
      </c>
      <c r="U216" s="5">
        <v>3.54</v>
      </c>
      <c r="V216" s="4">
        <v>5</v>
      </c>
      <c r="W216" s="4">
        <v>0</v>
      </c>
      <c r="X216" s="2">
        <v>42890</v>
      </c>
      <c r="Y216" s="4">
        <v>4</v>
      </c>
      <c r="Z216" s="4">
        <v>15</v>
      </c>
    </row>
    <row r="217" spans="1:26" x14ac:dyDescent="0.4">
      <c r="A217" t="s">
        <v>191</v>
      </c>
      <c r="B217" s="4">
        <v>10297</v>
      </c>
      <c r="C217" s="1">
        <v>60270</v>
      </c>
      <c r="D217" t="s">
        <v>32</v>
      </c>
      <c r="E217" t="s">
        <v>10</v>
      </c>
      <c r="F217" s="4">
        <v>2472</v>
      </c>
      <c r="G217" s="2">
        <v>32707</v>
      </c>
      <c r="H217" t="s">
        <v>9</v>
      </c>
      <c r="I217" t="s">
        <v>47</v>
      </c>
      <c r="J217" t="s">
        <v>7</v>
      </c>
      <c r="K217" s="2">
        <v>40944</v>
      </c>
      <c r="L217" s="3">
        <f>DATEDIF(HR_Data[[#This Row],[DOB]],HR_Data[[#This Row],[Date of Hire]],"Y")</f>
        <v>22</v>
      </c>
      <c r="M217" s="2">
        <v>42262</v>
      </c>
      <c r="N217" s="4">
        <f>IFERROR(DATEDIF(HR_Data[[#This Row],[Date of Hire]],HR_Data[[#This Row],[Date of Termination]],"Y"),"")</f>
        <v>3</v>
      </c>
      <c r="O217" t="s">
        <v>46</v>
      </c>
      <c r="P217" t="s">
        <v>27</v>
      </c>
      <c r="Q217" t="s">
        <v>4</v>
      </c>
      <c r="R217" t="s">
        <v>45</v>
      </c>
      <c r="S217" t="s">
        <v>60</v>
      </c>
      <c r="T217" t="s">
        <v>59</v>
      </c>
      <c r="U217" s="5">
        <v>2.4</v>
      </c>
      <c r="V217" s="4">
        <v>5</v>
      </c>
      <c r="W217" s="4">
        <v>0</v>
      </c>
      <c r="X217" s="2">
        <v>42157</v>
      </c>
      <c r="Y217" s="4">
        <v>5</v>
      </c>
      <c r="Z217" s="4">
        <v>2</v>
      </c>
    </row>
    <row r="218" spans="1:26" x14ac:dyDescent="0.4">
      <c r="A218" t="s">
        <v>190</v>
      </c>
      <c r="B218" s="4">
        <v>10171</v>
      </c>
      <c r="C218" s="1">
        <v>45998</v>
      </c>
      <c r="D218" t="s">
        <v>11</v>
      </c>
      <c r="E218" t="s">
        <v>10</v>
      </c>
      <c r="F218" s="4">
        <v>2176</v>
      </c>
      <c r="G218" s="2">
        <v>31613</v>
      </c>
      <c r="H218" t="s">
        <v>9</v>
      </c>
      <c r="I218" t="s">
        <v>17</v>
      </c>
      <c r="J218" t="s">
        <v>16</v>
      </c>
      <c r="K218" s="2">
        <v>40945</v>
      </c>
      <c r="L218" s="3">
        <f>DATEDIF(HR_Data[[#This Row],[DOB]],HR_Data[[#This Row],[Date of Hire]],"Y")</f>
        <v>25</v>
      </c>
      <c r="M218" s="2">
        <v>42302</v>
      </c>
      <c r="N218" s="4">
        <f>IFERROR(DATEDIF(HR_Data[[#This Row],[Date of Hire]],HR_Data[[#This Row],[Date of Termination]],"Y"),"")</f>
        <v>3</v>
      </c>
      <c r="O218" t="s">
        <v>92</v>
      </c>
      <c r="P218" t="s">
        <v>27</v>
      </c>
      <c r="Q218" t="s">
        <v>4</v>
      </c>
      <c r="R218" t="s">
        <v>45</v>
      </c>
      <c r="S218" t="s">
        <v>2</v>
      </c>
      <c r="T218" t="s">
        <v>1</v>
      </c>
      <c r="U218" s="5">
        <v>3.45</v>
      </c>
      <c r="V218" s="4">
        <v>4</v>
      </c>
      <c r="W218" s="4">
        <v>0</v>
      </c>
      <c r="X218" s="2">
        <v>41772</v>
      </c>
      <c r="Y218" s="4">
        <v>0</v>
      </c>
      <c r="Z218" s="4">
        <v>5</v>
      </c>
    </row>
    <row r="219" spans="1:26" x14ac:dyDescent="0.4">
      <c r="A219" t="s">
        <v>189</v>
      </c>
      <c r="B219" s="4">
        <v>10032</v>
      </c>
      <c r="C219" s="1">
        <v>57954</v>
      </c>
      <c r="D219" t="s">
        <v>32</v>
      </c>
      <c r="E219" t="s">
        <v>10</v>
      </c>
      <c r="F219" s="4">
        <v>1886</v>
      </c>
      <c r="G219" s="2">
        <v>31641</v>
      </c>
      <c r="H219" t="s">
        <v>9</v>
      </c>
      <c r="I219" t="s">
        <v>47</v>
      </c>
      <c r="J219" t="s">
        <v>16</v>
      </c>
      <c r="K219" s="2">
        <v>40946</v>
      </c>
      <c r="L219" s="3">
        <f>DATEDIF(HR_Data[[#This Row],[DOB]],HR_Data[[#This Row],[Date of Hire]],"Y")</f>
        <v>25</v>
      </c>
      <c r="M219" s="2">
        <v>41309</v>
      </c>
      <c r="N219" s="4">
        <f>IFERROR(DATEDIF(HR_Data[[#This Row],[Date of Hire]],HR_Data[[#This Row],[Date of Termination]],"Y"),"")</f>
        <v>0</v>
      </c>
      <c r="O219" t="s">
        <v>175</v>
      </c>
      <c r="P219" t="s">
        <v>27</v>
      </c>
      <c r="Q219" t="s">
        <v>4</v>
      </c>
      <c r="R219" t="s">
        <v>38</v>
      </c>
      <c r="S219" t="s">
        <v>55</v>
      </c>
      <c r="T219" t="s">
        <v>20</v>
      </c>
      <c r="U219" s="5">
        <v>4.2</v>
      </c>
      <c r="V219" s="4">
        <v>5</v>
      </c>
      <c r="W219" s="4">
        <v>0</v>
      </c>
      <c r="X219" s="2">
        <v>41548</v>
      </c>
      <c r="Y219" s="4">
        <v>0</v>
      </c>
      <c r="Z219" s="4">
        <v>12</v>
      </c>
    </row>
    <row r="220" spans="1:26" x14ac:dyDescent="0.4">
      <c r="A220" t="s">
        <v>188</v>
      </c>
      <c r="B220" s="4">
        <v>10130</v>
      </c>
      <c r="C220" s="1">
        <v>74669</v>
      </c>
      <c r="D220" t="s">
        <v>64</v>
      </c>
      <c r="E220" t="s">
        <v>10</v>
      </c>
      <c r="F220" s="4">
        <v>2030</v>
      </c>
      <c r="G220" s="2">
        <v>28254</v>
      </c>
      <c r="H220" t="s">
        <v>9</v>
      </c>
      <c r="I220" t="s">
        <v>47</v>
      </c>
      <c r="J220" t="s">
        <v>16</v>
      </c>
      <c r="K220" s="2">
        <v>40947</v>
      </c>
      <c r="L220" s="3">
        <f>DATEDIF(HR_Data[[#This Row],[DOB]],HR_Data[[#This Row],[Date of Hire]],"Y")</f>
        <v>34</v>
      </c>
      <c r="M220" s="2">
        <v>42508</v>
      </c>
      <c r="N220" s="4">
        <f>IFERROR(DATEDIF(HR_Data[[#This Row],[Date of Hire]],HR_Data[[#This Row],[Date of Termination]],"Y"),"")</f>
        <v>4</v>
      </c>
      <c r="O220" t="s">
        <v>28</v>
      </c>
      <c r="P220" t="s">
        <v>27</v>
      </c>
      <c r="Q220" t="s">
        <v>4</v>
      </c>
      <c r="R220" t="s">
        <v>21</v>
      </c>
      <c r="S220" t="s">
        <v>55</v>
      </c>
      <c r="T220" t="s">
        <v>1</v>
      </c>
      <c r="U220" s="5">
        <v>4.16</v>
      </c>
      <c r="V220" s="4">
        <v>5</v>
      </c>
      <c r="W220" s="4">
        <v>0</v>
      </c>
      <c r="X220" s="2">
        <v>42127</v>
      </c>
      <c r="Y220" s="4">
        <v>0</v>
      </c>
      <c r="Z220" s="4">
        <v>6</v>
      </c>
    </row>
    <row r="221" spans="1:26" x14ac:dyDescent="0.4">
      <c r="A221" t="s">
        <v>187</v>
      </c>
      <c r="B221" s="4">
        <v>10217</v>
      </c>
      <c r="C221" s="1">
        <v>74226</v>
      </c>
      <c r="D221" t="s">
        <v>32</v>
      </c>
      <c r="E221" t="s">
        <v>10</v>
      </c>
      <c r="F221" s="4">
        <v>2050</v>
      </c>
      <c r="G221" s="2">
        <v>28924</v>
      </c>
      <c r="H221" t="s">
        <v>9</v>
      </c>
      <c r="I221" t="s">
        <v>47</v>
      </c>
      <c r="J221" t="s">
        <v>7</v>
      </c>
      <c r="K221" s="2">
        <v>40948</v>
      </c>
      <c r="L221" s="3">
        <f>DATEDIF(HR_Data[[#This Row],[DOB]],HR_Data[[#This Row],[Date of Hire]],"Y")</f>
        <v>32</v>
      </c>
      <c r="N221" s="4" t="str">
        <f>IFERROR(DATEDIF(HR_Data[[#This Row],[Date of Hire]],HR_Data[[#This Row],[Date of Termination]],"Y"),"")</f>
        <v/>
      </c>
      <c r="O221" t="s">
        <v>6</v>
      </c>
      <c r="P221" t="s">
        <v>5</v>
      </c>
      <c r="Q221" t="s">
        <v>4</v>
      </c>
      <c r="R221" t="s">
        <v>26</v>
      </c>
      <c r="S221" t="s">
        <v>2</v>
      </c>
      <c r="T221" t="s">
        <v>1</v>
      </c>
      <c r="U221" s="5">
        <v>4.3</v>
      </c>
      <c r="V221" s="4">
        <v>3</v>
      </c>
      <c r="W221" s="4">
        <v>0</v>
      </c>
      <c r="X221" s="2">
        <v>43479</v>
      </c>
      <c r="Y221" s="4">
        <v>0</v>
      </c>
      <c r="Z221" s="4">
        <v>14</v>
      </c>
    </row>
    <row r="222" spans="1:26" x14ac:dyDescent="0.4">
      <c r="A222" t="s">
        <v>186</v>
      </c>
      <c r="B222" s="4">
        <v>10016</v>
      </c>
      <c r="C222" s="1">
        <v>93554</v>
      </c>
      <c r="D222" t="s">
        <v>18</v>
      </c>
      <c r="E222" t="s">
        <v>10</v>
      </c>
      <c r="F222" s="4">
        <v>1886</v>
      </c>
      <c r="G222" s="2">
        <v>30941</v>
      </c>
      <c r="H222" t="s">
        <v>9</v>
      </c>
      <c r="I222" t="s">
        <v>47</v>
      </c>
      <c r="J222" t="s">
        <v>40</v>
      </c>
      <c r="K222" s="2">
        <v>40949</v>
      </c>
      <c r="L222" s="3">
        <f>DATEDIF(HR_Data[[#This Row],[DOB]],HR_Data[[#This Row],[Date of Hire]],"Y")</f>
        <v>27</v>
      </c>
      <c r="N222" s="4" t="str">
        <f>IFERROR(DATEDIF(HR_Data[[#This Row],[Date of Hire]],HR_Data[[#This Row],[Date of Termination]],"Y"),"")</f>
        <v/>
      </c>
      <c r="O222" t="s">
        <v>6</v>
      </c>
      <c r="P222" t="s">
        <v>5</v>
      </c>
      <c r="Q222" t="s">
        <v>15</v>
      </c>
      <c r="R222" t="s">
        <v>14</v>
      </c>
      <c r="S222" t="s">
        <v>13</v>
      </c>
      <c r="T222" t="s">
        <v>20</v>
      </c>
      <c r="U222" s="5">
        <v>4.5999999999999996</v>
      </c>
      <c r="V222" s="4">
        <v>5</v>
      </c>
      <c r="W222" s="4">
        <v>7</v>
      </c>
      <c r="X222" s="2">
        <v>43556</v>
      </c>
      <c r="Y222" s="4">
        <v>0</v>
      </c>
      <c r="Z222" s="4">
        <v>16</v>
      </c>
    </row>
    <row r="223" spans="1:26" x14ac:dyDescent="0.4">
      <c r="A223" t="s">
        <v>185</v>
      </c>
      <c r="B223" s="4">
        <v>10050</v>
      </c>
      <c r="C223" s="1">
        <v>64724</v>
      </c>
      <c r="D223" t="s">
        <v>11</v>
      </c>
      <c r="E223" t="s">
        <v>10</v>
      </c>
      <c r="F223" s="4">
        <v>2451</v>
      </c>
      <c r="G223" s="2">
        <v>32208</v>
      </c>
      <c r="H223" t="s">
        <v>31</v>
      </c>
      <c r="I223" t="s">
        <v>47</v>
      </c>
      <c r="J223" t="s">
        <v>7</v>
      </c>
      <c r="K223" s="2">
        <v>40950</v>
      </c>
      <c r="L223" s="3">
        <f>DATEDIF(HR_Data[[#This Row],[DOB]],HR_Data[[#This Row],[Date of Hire]],"Y")</f>
        <v>23</v>
      </c>
      <c r="M223" s="2">
        <v>41243</v>
      </c>
      <c r="N223" s="4">
        <f>IFERROR(DATEDIF(HR_Data[[#This Row],[Date of Hire]],HR_Data[[#This Row],[Date of Termination]],"Y"),"")</f>
        <v>0</v>
      </c>
      <c r="O223" t="s">
        <v>175</v>
      </c>
      <c r="P223" t="s">
        <v>27</v>
      </c>
      <c r="Q223" t="s">
        <v>4</v>
      </c>
      <c r="R223" t="s">
        <v>26</v>
      </c>
      <c r="S223" t="s">
        <v>25</v>
      </c>
      <c r="T223" t="s">
        <v>1</v>
      </c>
      <c r="U223" s="5">
        <v>5</v>
      </c>
      <c r="V223" s="4">
        <v>3</v>
      </c>
      <c r="W223" s="4">
        <v>0</v>
      </c>
      <c r="X223" s="2">
        <v>40959</v>
      </c>
      <c r="Y223" s="4">
        <v>0</v>
      </c>
      <c r="Z223" s="4">
        <v>13</v>
      </c>
    </row>
    <row r="224" spans="1:26" x14ac:dyDescent="0.4">
      <c r="A224" t="s">
        <v>184</v>
      </c>
      <c r="B224" s="4">
        <v>10164</v>
      </c>
      <c r="C224" s="1">
        <v>47001</v>
      </c>
      <c r="D224" t="s">
        <v>11</v>
      </c>
      <c r="E224" t="s">
        <v>10</v>
      </c>
      <c r="F224" s="4">
        <v>2451</v>
      </c>
      <c r="G224" s="2">
        <v>29913</v>
      </c>
      <c r="H224" t="s">
        <v>31</v>
      </c>
      <c r="I224" t="s">
        <v>17</v>
      </c>
      <c r="J224" t="s">
        <v>16</v>
      </c>
      <c r="K224" s="2">
        <v>40951</v>
      </c>
      <c r="L224" s="3">
        <f>DATEDIF(HR_Data[[#This Row],[DOB]],HR_Data[[#This Row],[Date of Hire]],"Y")</f>
        <v>30</v>
      </c>
      <c r="N224" s="4" t="str">
        <f>IFERROR(DATEDIF(HR_Data[[#This Row],[Date of Hire]],HR_Data[[#This Row],[Date of Termination]],"Y"),"")</f>
        <v/>
      </c>
      <c r="O224" t="s">
        <v>6</v>
      </c>
      <c r="P224" t="s">
        <v>5</v>
      </c>
      <c r="Q224" t="s">
        <v>4</v>
      </c>
      <c r="R224" t="s">
        <v>3</v>
      </c>
      <c r="S224" t="s">
        <v>25</v>
      </c>
      <c r="T224" t="s">
        <v>1</v>
      </c>
      <c r="U224" s="5">
        <v>3.66</v>
      </c>
      <c r="V224" s="4">
        <v>3</v>
      </c>
      <c r="W224" s="4">
        <v>0</v>
      </c>
      <c r="X224" s="2">
        <v>43521</v>
      </c>
      <c r="Y224" s="4">
        <v>0</v>
      </c>
      <c r="Z224" s="4">
        <v>15</v>
      </c>
    </row>
    <row r="225" spans="1:26" x14ac:dyDescent="0.4">
      <c r="A225" t="s">
        <v>183</v>
      </c>
      <c r="B225" s="4">
        <v>10124</v>
      </c>
      <c r="C225" s="1">
        <v>61844</v>
      </c>
      <c r="D225" t="s">
        <v>79</v>
      </c>
      <c r="E225" t="s">
        <v>182</v>
      </c>
      <c r="F225" s="4">
        <v>40220</v>
      </c>
      <c r="G225" s="2">
        <v>32384</v>
      </c>
      <c r="H225" t="s">
        <v>9</v>
      </c>
      <c r="I225" t="s">
        <v>47</v>
      </c>
      <c r="J225" t="s">
        <v>40</v>
      </c>
      <c r="K225" s="2">
        <v>40952</v>
      </c>
      <c r="L225" s="3">
        <f>DATEDIF(HR_Data[[#This Row],[DOB]],HR_Data[[#This Row],[Date of Hire]],"Y")</f>
        <v>23</v>
      </c>
      <c r="N225" s="4" t="str">
        <f>IFERROR(DATEDIF(HR_Data[[#This Row],[Date of Hire]],HR_Data[[#This Row],[Date of Termination]],"Y"),"")</f>
        <v/>
      </c>
      <c r="O225" t="s">
        <v>6</v>
      </c>
      <c r="P225" t="s">
        <v>5</v>
      </c>
      <c r="Q225" t="s">
        <v>77</v>
      </c>
      <c r="R225" t="s">
        <v>97</v>
      </c>
      <c r="S225" t="s">
        <v>44</v>
      </c>
      <c r="T225" t="s">
        <v>1</v>
      </c>
      <c r="U225" s="5">
        <v>4.2</v>
      </c>
      <c r="V225" s="4">
        <v>5</v>
      </c>
      <c r="W225" s="4">
        <v>0</v>
      </c>
      <c r="X225" s="2">
        <v>43467</v>
      </c>
      <c r="Y225" s="4">
        <v>0</v>
      </c>
      <c r="Z225" s="4">
        <v>9</v>
      </c>
    </row>
    <row r="226" spans="1:26" x14ac:dyDescent="0.4">
      <c r="A226" t="s">
        <v>181</v>
      </c>
      <c r="B226" s="4">
        <v>10187</v>
      </c>
      <c r="C226" s="1">
        <v>46799</v>
      </c>
      <c r="D226" t="s">
        <v>11</v>
      </c>
      <c r="E226" t="s">
        <v>10</v>
      </c>
      <c r="F226" s="4">
        <v>1742</v>
      </c>
      <c r="G226" s="2">
        <v>30970</v>
      </c>
      <c r="H226" t="s">
        <v>9</v>
      </c>
      <c r="I226" t="s">
        <v>42</v>
      </c>
      <c r="J226" t="s">
        <v>7</v>
      </c>
      <c r="K226" s="2">
        <v>40953</v>
      </c>
      <c r="L226" s="3">
        <f>DATEDIF(HR_Data[[#This Row],[DOB]],HR_Data[[#This Row],[Date of Hire]],"Y")</f>
        <v>27</v>
      </c>
      <c r="M226" s="2">
        <v>43255</v>
      </c>
      <c r="N226" s="4">
        <f>IFERROR(DATEDIF(HR_Data[[#This Row],[Date of Hire]],HR_Data[[#This Row],[Date of Termination]],"Y"),"")</f>
        <v>6</v>
      </c>
      <c r="O226" t="s">
        <v>28</v>
      </c>
      <c r="P226" t="s">
        <v>27</v>
      </c>
      <c r="Q226" t="s">
        <v>4</v>
      </c>
      <c r="R226" t="s">
        <v>30</v>
      </c>
      <c r="S226" t="s">
        <v>25</v>
      </c>
      <c r="T226" t="s">
        <v>1</v>
      </c>
      <c r="U226" s="5">
        <v>3.17</v>
      </c>
      <c r="V226" s="4">
        <v>4</v>
      </c>
      <c r="W226" s="4">
        <v>0</v>
      </c>
      <c r="X226" s="2">
        <v>43135</v>
      </c>
      <c r="Y226" s="4">
        <v>0</v>
      </c>
      <c r="Z226" s="4">
        <v>14</v>
      </c>
    </row>
    <row r="227" spans="1:26" x14ac:dyDescent="0.4">
      <c r="A227" t="s">
        <v>180</v>
      </c>
      <c r="B227" s="4">
        <v>10225</v>
      </c>
      <c r="C227" s="1">
        <v>59472</v>
      </c>
      <c r="D227" t="s">
        <v>11</v>
      </c>
      <c r="E227" t="s">
        <v>10</v>
      </c>
      <c r="F227" s="4">
        <v>2109</v>
      </c>
      <c r="G227" s="2">
        <v>22451</v>
      </c>
      <c r="H227" t="s">
        <v>31</v>
      </c>
      <c r="I227" t="s">
        <v>17</v>
      </c>
      <c r="J227" t="s">
        <v>16</v>
      </c>
      <c r="K227" s="2">
        <v>40954</v>
      </c>
      <c r="L227" s="3">
        <f>DATEDIF(HR_Data[[#This Row],[DOB]],HR_Data[[#This Row],[Date of Hire]],"Y")</f>
        <v>50</v>
      </c>
      <c r="N227" s="4" t="str">
        <f>IFERROR(DATEDIF(HR_Data[[#This Row],[Date of Hire]],HR_Data[[#This Row],[Date of Termination]],"Y"),"")</f>
        <v/>
      </c>
      <c r="O227" t="s">
        <v>6</v>
      </c>
      <c r="P227" t="s">
        <v>5</v>
      </c>
      <c r="Q227" t="s">
        <v>4</v>
      </c>
      <c r="R227" t="s">
        <v>69</v>
      </c>
      <c r="S227" t="s">
        <v>13</v>
      </c>
      <c r="T227" t="s">
        <v>1</v>
      </c>
      <c r="U227" s="5">
        <v>4.8</v>
      </c>
      <c r="V227" s="4">
        <v>3</v>
      </c>
      <c r="W227" s="4">
        <v>0</v>
      </c>
      <c r="X227" s="2">
        <v>43647</v>
      </c>
      <c r="Y227" s="4">
        <v>0</v>
      </c>
      <c r="Z227" s="4">
        <v>14</v>
      </c>
    </row>
    <row r="228" spans="1:26" x14ac:dyDescent="0.4">
      <c r="A228" t="s">
        <v>179</v>
      </c>
      <c r="B228" s="4">
        <v>10262</v>
      </c>
      <c r="C228" s="1">
        <v>46430</v>
      </c>
      <c r="D228" t="s">
        <v>11</v>
      </c>
      <c r="E228" t="s">
        <v>10</v>
      </c>
      <c r="F228" s="4">
        <v>2474</v>
      </c>
      <c r="G228" s="2">
        <v>25833</v>
      </c>
      <c r="H228" t="s">
        <v>9</v>
      </c>
      <c r="I228" t="s">
        <v>42</v>
      </c>
      <c r="J228" t="s">
        <v>16</v>
      </c>
      <c r="K228" s="2">
        <v>40955</v>
      </c>
      <c r="L228" s="3">
        <f>DATEDIF(HR_Data[[#This Row],[DOB]],HR_Data[[#This Row],[Date of Hire]],"Y")</f>
        <v>41</v>
      </c>
      <c r="M228" s="2">
        <v>41443</v>
      </c>
      <c r="N228" s="4">
        <f>IFERROR(DATEDIF(HR_Data[[#This Row],[Date of Hire]],HR_Data[[#This Row],[Date of Termination]],"Y"),"")</f>
        <v>1</v>
      </c>
      <c r="O228" t="s">
        <v>46</v>
      </c>
      <c r="P228" t="s">
        <v>27</v>
      </c>
      <c r="Q228" t="s">
        <v>4</v>
      </c>
      <c r="R228" t="s">
        <v>30</v>
      </c>
      <c r="S228" t="s">
        <v>55</v>
      </c>
      <c r="T228" t="s">
        <v>1</v>
      </c>
      <c r="U228" s="5">
        <v>4.5</v>
      </c>
      <c r="V228" s="4">
        <v>5</v>
      </c>
      <c r="W228" s="4">
        <v>0</v>
      </c>
      <c r="X228" s="2">
        <v>41309</v>
      </c>
      <c r="Y228" s="4">
        <v>0</v>
      </c>
      <c r="Z228" s="4">
        <v>16</v>
      </c>
    </row>
    <row r="229" spans="1:26" x14ac:dyDescent="0.4">
      <c r="A229" t="s">
        <v>178</v>
      </c>
      <c r="B229" s="4">
        <v>10131</v>
      </c>
      <c r="C229" s="1">
        <v>83363</v>
      </c>
      <c r="D229" t="s">
        <v>93</v>
      </c>
      <c r="E229" t="s">
        <v>10</v>
      </c>
      <c r="F229" s="4">
        <v>2045</v>
      </c>
      <c r="G229" s="2">
        <v>30992</v>
      </c>
      <c r="H229" t="s">
        <v>31</v>
      </c>
      <c r="I229" t="s">
        <v>47</v>
      </c>
      <c r="J229" t="s">
        <v>40</v>
      </c>
      <c r="K229" s="2">
        <v>40956</v>
      </c>
      <c r="L229" s="3">
        <f>DATEDIF(HR_Data[[#This Row],[DOB]],HR_Data[[#This Row],[Date of Hire]],"Y")</f>
        <v>27</v>
      </c>
      <c r="M229" s="2">
        <v>42231</v>
      </c>
      <c r="N229" s="4">
        <f>IFERROR(DATEDIF(HR_Data[[#This Row],[Date of Hire]],HR_Data[[#This Row],[Date of Termination]],"Y"),"")</f>
        <v>3</v>
      </c>
      <c r="O229" t="s">
        <v>62</v>
      </c>
      <c r="P229" t="s">
        <v>27</v>
      </c>
      <c r="Q229" t="s">
        <v>91</v>
      </c>
      <c r="R229" t="s">
        <v>21</v>
      </c>
      <c r="S229" t="s">
        <v>37</v>
      </c>
      <c r="T229" t="s">
        <v>1</v>
      </c>
      <c r="U229" s="5">
        <v>4.1500000000000004</v>
      </c>
      <c r="V229" s="4">
        <v>4</v>
      </c>
      <c r="W229" s="4">
        <v>0</v>
      </c>
      <c r="X229" s="2">
        <v>41748</v>
      </c>
      <c r="Y229" s="4">
        <v>0</v>
      </c>
      <c r="Z229" s="4">
        <v>4</v>
      </c>
    </row>
    <row r="230" spans="1:26" x14ac:dyDescent="0.4">
      <c r="A230" t="s">
        <v>177</v>
      </c>
      <c r="B230" s="4">
        <v>10239</v>
      </c>
      <c r="C230" s="1">
        <v>95920</v>
      </c>
      <c r="D230" t="s">
        <v>111</v>
      </c>
      <c r="E230" t="s">
        <v>10</v>
      </c>
      <c r="F230" s="4">
        <v>2110</v>
      </c>
      <c r="G230" s="2">
        <v>29353</v>
      </c>
      <c r="H230" t="s">
        <v>9</v>
      </c>
      <c r="I230" t="s">
        <v>47</v>
      </c>
      <c r="J230" t="s">
        <v>40</v>
      </c>
      <c r="K230" s="2">
        <v>40957</v>
      </c>
      <c r="L230" s="3">
        <f>DATEDIF(HR_Data[[#This Row],[DOB]],HR_Data[[#This Row],[Date of Hire]],"Y")</f>
        <v>31</v>
      </c>
      <c r="N230" s="4" t="str">
        <f>IFERROR(DATEDIF(HR_Data[[#This Row],[Date of Hire]],HR_Data[[#This Row],[Date of Termination]],"Y"),"")</f>
        <v/>
      </c>
      <c r="O230" t="s">
        <v>6</v>
      </c>
      <c r="P230" t="s">
        <v>5</v>
      </c>
      <c r="Q230" t="s">
        <v>15</v>
      </c>
      <c r="R230" t="s">
        <v>56</v>
      </c>
      <c r="S230" t="s">
        <v>55</v>
      </c>
      <c r="T230" t="s">
        <v>1</v>
      </c>
      <c r="U230" s="5">
        <v>4.4000000000000004</v>
      </c>
      <c r="V230" s="4">
        <v>4</v>
      </c>
      <c r="W230" s="4">
        <v>6</v>
      </c>
      <c r="X230" s="2">
        <v>43618</v>
      </c>
      <c r="Y230" s="4">
        <v>0</v>
      </c>
      <c r="Z230" s="4">
        <v>10</v>
      </c>
    </row>
    <row r="231" spans="1:26" x14ac:dyDescent="0.4">
      <c r="A231" t="s">
        <v>176</v>
      </c>
      <c r="B231" s="4">
        <v>10152</v>
      </c>
      <c r="C231" s="1">
        <v>61729</v>
      </c>
      <c r="D231" t="s">
        <v>11</v>
      </c>
      <c r="E231" t="s">
        <v>10</v>
      </c>
      <c r="F231" s="4">
        <v>2478</v>
      </c>
      <c r="G231" s="2">
        <v>31047</v>
      </c>
      <c r="H231" t="s">
        <v>31</v>
      </c>
      <c r="I231" t="s">
        <v>42</v>
      </c>
      <c r="J231" t="s">
        <v>16</v>
      </c>
      <c r="K231" s="2">
        <v>40958</v>
      </c>
      <c r="L231" s="3">
        <f>DATEDIF(HR_Data[[#This Row],[DOB]],HR_Data[[#This Row],[Date of Hire]],"Y")</f>
        <v>27</v>
      </c>
      <c r="M231" s="2">
        <v>43197</v>
      </c>
      <c r="N231" s="4">
        <f>IFERROR(DATEDIF(HR_Data[[#This Row],[Date of Hire]],HR_Data[[#This Row],[Date of Termination]],"Y"),"")</f>
        <v>6</v>
      </c>
      <c r="O231" t="s">
        <v>175</v>
      </c>
      <c r="P231" t="s">
        <v>27</v>
      </c>
      <c r="Q231" t="s">
        <v>4</v>
      </c>
      <c r="R231" t="s">
        <v>67</v>
      </c>
      <c r="S231" t="s">
        <v>55</v>
      </c>
      <c r="T231" t="s">
        <v>1</v>
      </c>
      <c r="U231" s="5">
        <v>3.8</v>
      </c>
      <c r="V231" s="4">
        <v>5</v>
      </c>
      <c r="W231" s="4">
        <v>0</v>
      </c>
      <c r="X231" s="2">
        <v>43192</v>
      </c>
      <c r="Y231" s="4">
        <v>0</v>
      </c>
      <c r="Z231" s="4">
        <v>19</v>
      </c>
    </row>
    <row r="232" spans="1:26" x14ac:dyDescent="0.4">
      <c r="A232" t="s">
        <v>174</v>
      </c>
      <c r="B232" s="4">
        <v>10140</v>
      </c>
      <c r="C232" s="1">
        <v>61809</v>
      </c>
      <c r="D232" t="s">
        <v>79</v>
      </c>
      <c r="E232" t="s">
        <v>173</v>
      </c>
      <c r="F232" s="4">
        <v>83706</v>
      </c>
      <c r="G232" s="2">
        <v>20009</v>
      </c>
      <c r="H232" t="s">
        <v>31</v>
      </c>
      <c r="I232" t="s">
        <v>47</v>
      </c>
      <c r="J232" t="s">
        <v>16</v>
      </c>
      <c r="K232" s="2">
        <v>40959</v>
      </c>
      <c r="L232" s="3">
        <f>DATEDIF(HR_Data[[#This Row],[DOB]],HR_Data[[#This Row],[Date of Hire]],"Y")</f>
        <v>57</v>
      </c>
      <c r="N232" s="4" t="str">
        <f>IFERROR(DATEDIF(HR_Data[[#This Row],[Date of Hire]],HR_Data[[#This Row],[Date of Termination]],"Y"),"")</f>
        <v/>
      </c>
      <c r="O232" t="s">
        <v>6</v>
      </c>
      <c r="P232" t="s">
        <v>5</v>
      </c>
      <c r="Q232" t="s">
        <v>77</v>
      </c>
      <c r="R232" t="s">
        <v>76</v>
      </c>
      <c r="S232" t="s">
        <v>60</v>
      </c>
      <c r="T232" t="s">
        <v>1</v>
      </c>
      <c r="U232" s="5">
        <v>3.98</v>
      </c>
      <c r="V232" s="4">
        <v>3</v>
      </c>
      <c r="W232" s="4">
        <v>0</v>
      </c>
      <c r="X232" s="2">
        <v>43493</v>
      </c>
      <c r="Y232" s="4">
        <v>0</v>
      </c>
      <c r="Z232" s="4">
        <v>4</v>
      </c>
    </row>
    <row r="233" spans="1:26" x14ac:dyDescent="0.4">
      <c r="A233" t="s">
        <v>172</v>
      </c>
      <c r="B233" s="4">
        <v>10058</v>
      </c>
      <c r="C233" s="1">
        <v>45115</v>
      </c>
      <c r="D233" t="s">
        <v>11</v>
      </c>
      <c r="E233" t="s">
        <v>10</v>
      </c>
      <c r="F233" s="4">
        <v>2176</v>
      </c>
      <c r="G233" s="2">
        <v>30154</v>
      </c>
      <c r="H233" t="s">
        <v>31</v>
      </c>
      <c r="I233" t="s">
        <v>42</v>
      </c>
      <c r="J233" t="s">
        <v>16</v>
      </c>
      <c r="K233" s="2">
        <v>40960</v>
      </c>
      <c r="L233" s="3">
        <f>DATEDIF(HR_Data[[#This Row],[DOB]],HR_Data[[#This Row],[Date of Hire]],"Y")</f>
        <v>29</v>
      </c>
      <c r="M233" s="2">
        <v>42384</v>
      </c>
      <c r="N233" s="4">
        <f>IFERROR(DATEDIF(HR_Data[[#This Row],[Date of Hire]],HR_Data[[#This Row],[Date of Termination]],"Y"),"")</f>
        <v>3</v>
      </c>
      <c r="O233" t="s">
        <v>35</v>
      </c>
      <c r="P233" t="s">
        <v>27</v>
      </c>
      <c r="Q233" t="s">
        <v>4</v>
      </c>
      <c r="R233" t="s">
        <v>61</v>
      </c>
      <c r="S233" t="s">
        <v>2</v>
      </c>
      <c r="T233" t="s">
        <v>1</v>
      </c>
      <c r="U233" s="5">
        <v>5</v>
      </c>
      <c r="V233" s="4">
        <v>4</v>
      </c>
      <c r="W233" s="4">
        <v>0</v>
      </c>
      <c r="X233" s="2">
        <v>42093</v>
      </c>
      <c r="Y233" s="4">
        <v>0</v>
      </c>
      <c r="Z233" s="4">
        <v>11</v>
      </c>
    </row>
    <row r="234" spans="1:26" x14ac:dyDescent="0.4">
      <c r="A234" t="s">
        <v>171</v>
      </c>
      <c r="B234" s="4">
        <v>10011</v>
      </c>
      <c r="C234" s="1">
        <v>46738</v>
      </c>
      <c r="D234" t="s">
        <v>11</v>
      </c>
      <c r="E234" t="s">
        <v>10</v>
      </c>
      <c r="F234" s="4">
        <v>2171</v>
      </c>
      <c r="G234" s="2">
        <v>26676</v>
      </c>
      <c r="H234" t="s">
        <v>9</v>
      </c>
      <c r="I234" t="s">
        <v>47</v>
      </c>
      <c r="J234" t="s">
        <v>7</v>
      </c>
      <c r="K234" s="2">
        <v>40961</v>
      </c>
      <c r="L234" s="3">
        <f>DATEDIF(HR_Data[[#This Row],[DOB]],HR_Data[[#This Row],[Date of Hire]],"Y")</f>
        <v>39</v>
      </c>
      <c r="N234" s="4" t="str">
        <f>IFERROR(DATEDIF(HR_Data[[#This Row],[Date of Hire]],HR_Data[[#This Row],[Date of Termination]],"Y"),"")</f>
        <v/>
      </c>
      <c r="O234" t="s">
        <v>6</v>
      </c>
      <c r="P234" t="s">
        <v>5</v>
      </c>
      <c r="Q234" t="s">
        <v>4</v>
      </c>
      <c r="R234" t="s">
        <v>49</v>
      </c>
      <c r="S234" t="s">
        <v>25</v>
      </c>
      <c r="T234" t="s">
        <v>20</v>
      </c>
      <c r="U234" s="5">
        <v>4.3600000000000003</v>
      </c>
      <c r="V234" s="4">
        <v>5</v>
      </c>
      <c r="W234" s="4">
        <v>0</v>
      </c>
      <c r="X234" s="2">
        <v>43771</v>
      </c>
      <c r="Y234" s="4">
        <v>0</v>
      </c>
      <c r="Z234" s="4">
        <v>16</v>
      </c>
    </row>
    <row r="235" spans="1:26" x14ac:dyDescent="0.4">
      <c r="A235" t="s">
        <v>170</v>
      </c>
      <c r="B235" s="4">
        <v>10230</v>
      </c>
      <c r="C235" s="1">
        <v>64971</v>
      </c>
      <c r="D235" t="s">
        <v>32</v>
      </c>
      <c r="E235" t="s">
        <v>10</v>
      </c>
      <c r="F235" s="4">
        <v>1902</v>
      </c>
      <c r="G235" s="2">
        <v>29834</v>
      </c>
      <c r="H235" t="s">
        <v>9</v>
      </c>
      <c r="I235" t="s">
        <v>42</v>
      </c>
      <c r="J235" t="s">
        <v>40</v>
      </c>
      <c r="K235" s="2">
        <v>40962</v>
      </c>
      <c r="L235" s="3">
        <f>DATEDIF(HR_Data[[#This Row],[DOB]],HR_Data[[#This Row],[Date of Hire]],"Y")</f>
        <v>30</v>
      </c>
      <c r="M235" s="2">
        <v>40838</v>
      </c>
      <c r="N235" s="4" t="str">
        <f>IFERROR(DATEDIF(HR_Data[[#This Row],[Date of Hire]],HR_Data[[#This Row],[Date of Termination]],"Y"),"")</f>
        <v/>
      </c>
      <c r="O235" t="s">
        <v>105</v>
      </c>
      <c r="P235" t="s">
        <v>27</v>
      </c>
      <c r="Q235" t="s">
        <v>4</v>
      </c>
      <c r="R235" t="s">
        <v>3</v>
      </c>
      <c r="S235" t="s">
        <v>25</v>
      </c>
      <c r="T235" t="s">
        <v>1</v>
      </c>
      <c r="U235" s="5">
        <v>4.5</v>
      </c>
      <c r="V235" s="4">
        <v>4</v>
      </c>
      <c r="W235" s="4">
        <v>0</v>
      </c>
      <c r="X235" s="2">
        <v>40838</v>
      </c>
      <c r="Y235" s="4">
        <v>0</v>
      </c>
      <c r="Z235" s="4">
        <v>10</v>
      </c>
    </row>
    <row r="236" spans="1:26" x14ac:dyDescent="0.4">
      <c r="A236" t="s">
        <v>169</v>
      </c>
      <c r="B236" s="4">
        <v>10224</v>
      </c>
      <c r="C236" s="1">
        <v>55578</v>
      </c>
      <c r="D236" t="s">
        <v>32</v>
      </c>
      <c r="E236" t="s">
        <v>10</v>
      </c>
      <c r="F236" s="4">
        <v>2138</v>
      </c>
      <c r="G236" s="2">
        <v>26483</v>
      </c>
      <c r="H236" t="s">
        <v>31</v>
      </c>
      <c r="I236" t="s">
        <v>47</v>
      </c>
      <c r="J236" t="s">
        <v>16</v>
      </c>
      <c r="K236" s="2">
        <v>40963</v>
      </c>
      <c r="L236" s="3">
        <f>DATEDIF(HR_Data[[#This Row],[DOB]],HR_Data[[#This Row],[Date of Hire]],"Y")</f>
        <v>39</v>
      </c>
      <c r="M236" s="2">
        <v>40947</v>
      </c>
      <c r="N236" s="4" t="str">
        <f>IFERROR(DATEDIF(HR_Data[[#This Row],[Date of Hire]],HR_Data[[#This Row],[Date of Termination]],"Y"),"")</f>
        <v/>
      </c>
      <c r="O236" t="s">
        <v>28</v>
      </c>
      <c r="P236" t="s">
        <v>27</v>
      </c>
      <c r="Q236" t="s">
        <v>4</v>
      </c>
      <c r="R236" t="s">
        <v>30</v>
      </c>
      <c r="S236" t="s">
        <v>55</v>
      </c>
      <c r="T236" t="s">
        <v>1</v>
      </c>
      <c r="U236" s="5">
        <v>4.2</v>
      </c>
      <c r="V236" s="4">
        <v>5</v>
      </c>
      <c r="W236" s="4">
        <v>0</v>
      </c>
      <c r="X236" s="2">
        <v>41061</v>
      </c>
      <c r="Y236" s="4">
        <v>0</v>
      </c>
      <c r="Z236" s="4">
        <v>13</v>
      </c>
    </row>
    <row r="237" spans="1:26" x14ac:dyDescent="0.4">
      <c r="A237" t="s">
        <v>168</v>
      </c>
      <c r="B237" s="4">
        <v>10047</v>
      </c>
      <c r="C237" s="1">
        <v>50428</v>
      </c>
      <c r="D237" t="s">
        <v>11</v>
      </c>
      <c r="E237" t="s">
        <v>10</v>
      </c>
      <c r="F237" s="4">
        <v>1420</v>
      </c>
      <c r="G237" s="2">
        <v>27036</v>
      </c>
      <c r="H237" t="s">
        <v>31</v>
      </c>
      <c r="I237" t="s">
        <v>47</v>
      </c>
      <c r="J237" t="s">
        <v>40</v>
      </c>
      <c r="K237" s="2">
        <v>40964</v>
      </c>
      <c r="L237" s="3">
        <f>DATEDIF(HR_Data[[#This Row],[DOB]],HR_Data[[#This Row],[Date of Hire]],"Y")</f>
        <v>38</v>
      </c>
      <c r="M237" s="2">
        <v>42395</v>
      </c>
      <c r="N237" s="4">
        <f>IFERROR(DATEDIF(HR_Data[[#This Row],[Date of Hire]],HR_Data[[#This Row],[Date of Termination]],"Y"),"")</f>
        <v>3</v>
      </c>
      <c r="O237" t="s">
        <v>166</v>
      </c>
      <c r="P237" t="s">
        <v>27</v>
      </c>
      <c r="Q237" t="s">
        <v>4</v>
      </c>
      <c r="R237" t="s">
        <v>45</v>
      </c>
      <c r="S237" t="s">
        <v>55</v>
      </c>
      <c r="T237" t="s">
        <v>1</v>
      </c>
      <c r="U237" s="5">
        <v>5</v>
      </c>
      <c r="V237" s="4">
        <v>3</v>
      </c>
      <c r="W237" s="4">
        <v>0</v>
      </c>
      <c r="X237" s="2">
        <v>42278</v>
      </c>
      <c r="Y237" s="4">
        <v>0</v>
      </c>
      <c r="Z237" s="4">
        <v>11</v>
      </c>
    </row>
    <row r="238" spans="1:26" x14ac:dyDescent="0.4">
      <c r="A238" t="s">
        <v>167</v>
      </c>
      <c r="B238" s="4">
        <v>10285</v>
      </c>
      <c r="C238" s="1">
        <v>61422</v>
      </c>
      <c r="D238" t="s">
        <v>11</v>
      </c>
      <c r="E238" t="s">
        <v>10</v>
      </c>
      <c r="F238" s="4">
        <v>1460</v>
      </c>
      <c r="G238" s="2">
        <v>31054</v>
      </c>
      <c r="H238" t="s">
        <v>9</v>
      </c>
      <c r="I238" t="s">
        <v>47</v>
      </c>
      <c r="J238" t="s">
        <v>16</v>
      </c>
      <c r="K238" s="2">
        <v>40965</v>
      </c>
      <c r="L238" s="3">
        <f>DATEDIF(HR_Data[[#This Row],[DOB]],HR_Data[[#This Row],[Date of Hire]],"Y")</f>
        <v>27</v>
      </c>
      <c r="M238" s="2">
        <v>42507</v>
      </c>
      <c r="N238" s="4">
        <f>IFERROR(DATEDIF(HR_Data[[#This Row],[Date of Hire]],HR_Data[[#This Row],[Date of Termination]],"Y"),"")</f>
        <v>4</v>
      </c>
      <c r="O238" t="s">
        <v>166</v>
      </c>
      <c r="P238" t="s">
        <v>70</v>
      </c>
      <c r="Q238" t="s">
        <v>4</v>
      </c>
      <c r="R238" t="s">
        <v>38</v>
      </c>
      <c r="S238" t="s">
        <v>55</v>
      </c>
      <c r="T238" t="s">
        <v>59</v>
      </c>
      <c r="U238" s="5">
        <v>3.6</v>
      </c>
      <c r="V238" s="4">
        <v>3</v>
      </c>
      <c r="W238" s="4">
        <v>0</v>
      </c>
      <c r="X238" s="2">
        <v>42494</v>
      </c>
      <c r="Y238" s="4">
        <v>4</v>
      </c>
      <c r="Z238" s="4">
        <v>16</v>
      </c>
    </row>
    <row r="239" spans="1:26" x14ac:dyDescent="0.4">
      <c r="A239" t="s">
        <v>165</v>
      </c>
      <c r="B239" s="4">
        <v>10020</v>
      </c>
      <c r="C239" s="1">
        <v>63353</v>
      </c>
      <c r="D239" t="s">
        <v>11</v>
      </c>
      <c r="E239" t="s">
        <v>10</v>
      </c>
      <c r="F239" s="4">
        <v>1730</v>
      </c>
      <c r="G239" s="2">
        <v>31075</v>
      </c>
      <c r="H239" t="s">
        <v>31</v>
      </c>
      <c r="I239" t="s">
        <v>8</v>
      </c>
      <c r="J239" t="s">
        <v>16</v>
      </c>
      <c r="K239" s="2">
        <v>40966</v>
      </c>
      <c r="L239" s="3">
        <f>DATEDIF(HR_Data[[#This Row],[DOB]],HR_Data[[#This Row],[Date of Hire]],"Y")</f>
        <v>27</v>
      </c>
      <c r="N239" s="4" t="str">
        <f>IFERROR(DATEDIF(HR_Data[[#This Row],[Date of Hire]],HR_Data[[#This Row],[Date of Termination]],"Y"),"")</f>
        <v/>
      </c>
      <c r="O239" t="s">
        <v>6</v>
      </c>
      <c r="P239" t="s">
        <v>5</v>
      </c>
      <c r="Q239" t="s">
        <v>4</v>
      </c>
      <c r="R239" t="s">
        <v>26</v>
      </c>
      <c r="S239" t="s">
        <v>13</v>
      </c>
      <c r="T239" t="s">
        <v>20</v>
      </c>
      <c r="U239" s="5">
        <v>3.6</v>
      </c>
      <c r="V239" s="4">
        <v>5</v>
      </c>
      <c r="W239" s="4">
        <v>0</v>
      </c>
      <c r="X239" s="2">
        <v>43771</v>
      </c>
      <c r="Y239" s="4">
        <v>0</v>
      </c>
      <c r="Z239" s="4">
        <v>4</v>
      </c>
    </row>
    <row r="240" spans="1:26" x14ac:dyDescent="0.4">
      <c r="A240" t="s">
        <v>164</v>
      </c>
      <c r="B240" s="4">
        <v>10162</v>
      </c>
      <c r="C240" s="1">
        <v>89883</v>
      </c>
      <c r="D240" t="s">
        <v>18</v>
      </c>
      <c r="E240" t="s">
        <v>10</v>
      </c>
      <c r="F240" s="4">
        <v>1886</v>
      </c>
      <c r="G240" s="2">
        <v>29870</v>
      </c>
      <c r="H240" t="s">
        <v>9</v>
      </c>
      <c r="I240" t="s">
        <v>47</v>
      </c>
      <c r="J240" t="s">
        <v>16</v>
      </c>
      <c r="K240" s="2">
        <v>40967</v>
      </c>
      <c r="L240" s="3">
        <f>DATEDIF(HR_Data[[#This Row],[DOB]],HR_Data[[#This Row],[Date of Hire]],"Y")</f>
        <v>30</v>
      </c>
      <c r="N240" s="4" t="str">
        <f>IFERROR(DATEDIF(HR_Data[[#This Row],[Date of Hire]],HR_Data[[#This Row],[Date of Termination]],"Y"),"")</f>
        <v/>
      </c>
      <c r="O240" t="s">
        <v>6</v>
      </c>
      <c r="P240" t="s">
        <v>5</v>
      </c>
      <c r="Q240" t="s">
        <v>15</v>
      </c>
      <c r="R240" t="s">
        <v>14</v>
      </c>
      <c r="S240" t="s">
        <v>13</v>
      </c>
      <c r="T240" t="s">
        <v>1</v>
      </c>
      <c r="U240" s="5">
        <v>3.69</v>
      </c>
      <c r="V240" s="4">
        <v>5</v>
      </c>
      <c r="W240" s="4">
        <v>6</v>
      </c>
      <c r="X240" s="2">
        <v>43510</v>
      </c>
      <c r="Y240" s="4">
        <v>0</v>
      </c>
      <c r="Z240" s="4">
        <v>15</v>
      </c>
    </row>
    <row r="241" spans="1:26" x14ac:dyDescent="0.4">
      <c r="A241" t="s">
        <v>163</v>
      </c>
      <c r="B241" s="4">
        <v>10149</v>
      </c>
      <c r="C241" s="1">
        <v>120000</v>
      </c>
      <c r="D241" t="s">
        <v>162</v>
      </c>
      <c r="E241" t="s">
        <v>10</v>
      </c>
      <c r="F241" s="4">
        <v>2703</v>
      </c>
      <c r="G241" s="2">
        <v>26811</v>
      </c>
      <c r="H241" t="s">
        <v>9</v>
      </c>
      <c r="I241" t="s">
        <v>17</v>
      </c>
      <c r="J241" t="s">
        <v>16</v>
      </c>
      <c r="K241" s="2">
        <v>40968</v>
      </c>
      <c r="L241" s="3">
        <f>DATEDIF(HR_Data[[#This Row],[DOB]],HR_Data[[#This Row],[Date of Hire]],"Y")</f>
        <v>38</v>
      </c>
      <c r="M241" s="2">
        <v>43414</v>
      </c>
      <c r="N241" s="4">
        <f>IFERROR(DATEDIF(HR_Data[[#This Row],[Date of Hire]],HR_Data[[#This Row],[Date of Termination]],"Y"),"")</f>
        <v>6</v>
      </c>
      <c r="O241" t="s">
        <v>28</v>
      </c>
      <c r="P241" t="s">
        <v>27</v>
      </c>
      <c r="Q241" t="s">
        <v>15</v>
      </c>
      <c r="R241" t="s">
        <v>14</v>
      </c>
      <c r="S241" t="s">
        <v>2</v>
      </c>
      <c r="T241" t="s">
        <v>1</v>
      </c>
      <c r="U241" s="5">
        <v>3.88</v>
      </c>
      <c r="V241" s="4">
        <v>3</v>
      </c>
      <c r="W241" s="4">
        <v>7</v>
      </c>
      <c r="X241" s="2">
        <v>43144</v>
      </c>
      <c r="Y241" s="4">
        <v>0</v>
      </c>
      <c r="Z241" s="4">
        <v>12</v>
      </c>
    </row>
    <row r="242" spans="1:26" x14ac:dyDescent="0.4">
      <c r="A242" t="s">
        <v>161</v>
      </c>
      <c r="B242" s="4">
        <v>10086</v>
      </c>
      <c r="C242" s="1">
        <v>150290</v>
      </c>
      <c r="D242" t="s">
        <v>160</v>
      </c>
      <c r="E242" t="s">
        <v>10</v>
      </c>
      <c r="F242" s="4">
        <v>2056</v>
      </c>
      <c r="G242" s="2">
        <v>26624</v>
      </c>
      <c r="H242" t="s">
        <v>9</v>
      </c>
      <c r="I242" t="s">
        <v>17</v>
      </c>
      <c r="J242" t="s">
        <v>40</v>
      </c>
      <c r="K242" s="2">
        <v>40969</v>
      </c>
      <c r="L242" s="3">
        <f>DATEDIF(HR_Data[[#This Row],[DOB]],HR_Data[[#This Row],[Date of Hire]],"Y")</f>
        <v>39</v>
      </c>
      <c r="N242" s="4" t="str">
        <f>IFERROR(DATEDIF(HR_Data[[#This Row],[Date of Hire]],HR_Data[[#This Row],[Date of Termination]],"Y"),"")</f>
        <v/>
      </c>
      <c r="O242" t="s">
        <v>6</v>
      </c>
      <c r="P242" t="s">
        <v>5</v>
      </c>
      <c r="Q242" t="s">
        <v>15</v>
      </c>
      <c r="R242" t="s">
        <v>56</v>
      </c>
      <c r="S242" t="s">
        <v>55</v>
      </c>
      <c r="T242" t="s">
        <v>1</v>
      </c>
      <c r="U242" s="5">
        <v>4.9400000000000004</v>
      </c>
      <c r="V242" s="4">
        <v>3</v>
      </c>
      <c r="W242" s="4">
        <v>5</v>
      </c>
      <c r="X242" s="2">
        <v>43618</v>
      </c>
      <c r="Y242" s="4">
        <v>0</v>
      </c>
      <c r="Z242" s="4">
        <v>17</v>
      </c>
    </row>
    <row r="243" spans="1:26" x14ac:dyDescent="0.4">
      <c r="A243" t="s">
        <v>159</v>
      </c>
      <c r="B243" s="4">
        <v>10054</v>
      </c>
      <c r="C243" s="1">
        <v>60627</v>
      </c>
      <c r="D243" t="s">
        <v>11</v>
      </c>
      <c r="E243" t="s">
        <v>10</v>
      </c>
      <c r="F243" s="4">
        <v>1886</v>
      </c>
      <c r="G243" s="2">
        <v>27368</v>
      </c>
      <c r="H243" t="s">
        <v>9</v>
      </c>
      <c r="I243" t="s">
        <v>98</v>
      </c>
      <c r="J243" t="s">
        <v>16</v>
      </c>
      <c r="K243" s="2">
        <v>40970</v>
      </c>
      <c r="L243" s="3">
        <f>DATEDIF(HR_Data[[#This Row],[DOB]],HR_Data[[#This Row],[Date of Hire]],"Y")</f>
        <v>37</v>
      </c>
      <c r="N243" s="4" t="str">
        <f>IFERROR(DATEDIF(HR_Data[[#This Row],[Date of Hire]],HR_Data[[#This Row],[Date of Termination]],"Y"),"")</f>
        <v/>
      </c>
      <c r="O243" t="s">
        <v>6</v>
      </c>
      <c r="P243" t="s">
        <v>5</v>
      </c>
      <c r="Q243" t="s">
        <v>4</v>
      </c>
      <c r="R243" t="s">
        <v>3</v>
      </c>
      <c r="S243" t="s">
        <v>44</v>
      </c>
      <c r="T243" t="s">
        <v>1</v>
      </c>
      <c r="U243" s="5">
        <v>5</v>
      </c>
      <c r="V243" s="4">
        <v>4</v>
      </c>
      <c r="W243" s="4">
        <v>0</v>
      </c>
      <c r="X243" s="2">
        <v>43496</v>
      </c>
      <c r="Y243" s="4">
        <v>0</v>
      </c>
      <c r="Z243" s="4">
        <v>8</v>
      </c>
    </row>
    <row r="244" spans="1:26" x14ac:dyDescent="0.4">
      <c r="A244" t="s">
        <v>158</v>
      </c>
      <c r="B244" s="4">
        <v>10065</v>
      </c>
      <c r="C244" s="1">
        <v>53180</v>
      </c>
      <c r="D244" t="s">
        <v>11</v>
      </c>
      <c r="E244" t="s">
        <v>10</v>
      </c>
      <c r="F244" s="4">
        <v>2155</v>
      </c>
      <c r="G244" s="2">
        <v>31854</v>
      </c>
      <c r="H244" t="s">
        <v>31</v>
      </c>
      <c r="I244" t="s">
        <v>17</v>
      </c>
      <c r="J244" t="s">
        <v>16</v>
      </c>
      <c r="K244" s="2">
        <v>40971</v>
      </c>
      <c r="L244" s="3">
        <f>DATEDIF(HR_Data[[#This Row],[DOB]],HR_Data[[#This Row],[Date of Hire]],"Y")</f>
        <v>24</v>
      </c>
      <c r="M244" s="2">
        <v>43325</v>
      </c>
      <c r="N244" s="4">
        <f>IFERROR(DATEDIF(HR_Data[[#This Row],[Date of Hire]],HR_Data[[#This Row],[Date of Termination]],"Y"),"")</f>
        <v>6</v>
      </c>
      <c r="O244" t="s">
        <v>28</v>
      </c>
      <c r="P244" t="s">
        <v>27</v>
      </c>
      <c r="Q244" t="s">
        <v>4</v>
      </c>
      <c r="R244" t="s">
        <v>30</v>
      </c>
      <c r="S244" t="s">
        <v>25</v>
      </c>
      <c r="T244" t="s">
        <v>1</v>
      </c>
      <c r="U244" s="5">
        <v>5</v>
      </c>
      <c r="V244" s="4">
        <v>5</v>
      </c>
      <c r="W244" s="4">
        <v>0</v>
      </c>
      <c r="X244" s="2">
        <v>43138</v>
      </c>
      <c r="Y244" s="4">
        <v>0</v>
      </c>
      <c r="Z244" s="4">
        <v>4</v>
      </c>
    </row>
    <row r="245" spans="1:26" x14ac:dyDescent="0.4">
      <c r="A245" t="s">
        <v>157</v>
      </c>
      <c r="B245" s="4">
        <v>10198</v>
      </c>
      <c r="C245" s="1">
        <v>140920</v>
      </c>
      <c r="D245" t="s">
        <v>155</v>
      </c>
      <c r="E245" t="s">
        <v>10</v>
      </c>
      <c r="F245" s="4">
        <v>2481</v>
      </c>
      <c r="G245" s="2">
        <v>26759</v>
      </c>
      <c r="H245" t="s">
        <v>31</v>
      </c>
      <c r="I245" t="s">
        <v>17</v>
      </c>
      <c r="J245" t="s">
        <v>16</v>
      </c>
      <c r="K245" s="2">
        <v>40972</v>
      </c>
      <c r="L245" s="3">
        <f>DATEDIF(HR_Data[[#This Row],[DOB]],HR_Data[[#This Row],[Date of Hire]],"Y")</f>
        <v>38</v>
      </c>
      <c r="N245" s="4" t="str">
        <f>IFERROR(DATEDIF(HR_Data[[#This Row],[Date of Hire]],HR_Data[[#This Row],[Date of Termination]],"Y"),"")</f>
        <v/>
      </c>
      <c r="O245" t="s">
        <v>6</v>
      </c>
      <c r="P245" t="s">
        <v>5</v>
      </c>
      <c r="Q245" t="s">
        <v>15</v>
      </c>
      <c r="R245" t="s">
        <v>154</v>
      </c>
      <c r="S245" t="s">
        <v>55</v>
      </c>
      <c r="T245" t="s">
        <v>1</v>
      </c>
      <c r="U245" s="5">
        <v>3.6</v>
      </c>
      <c r="V245" s="4">
        <v>5</v>
      </c>
      <c r="W245" s="4">
        <v>7</v>
      </c>
      <c r="X245" s="2">
        <v>43514</v>
      </c>
      <c r="Y245" s="4">
        <v>0</v>
      </c>
      <c r="Z245" s="4">
        <v>13</v>
      </c>
    </row>
    <row r="246" spans="1:26" x14ac:dyDescent="0.4">
      <c r="A246" t="s">
        <v>156</v>
      </c>
      <c r="B246" s="4">
        <v>10222</v>
      </c>
      <c r="C246" s="1">
        <v>148999</v>
      </c>
      <c r="D246" t="s">
        <v>155</v>
      </c>
      <c r="E246" t="s">
        <v>10</v>
      </c>
      <c r="F246" s="4">
        <v>1915</v>
      </c>
      <c r="G246" s="2">
        <v>23380</v>
      </c>
      <c r="H246" t="s">
        <v>31</v>
      </c>
      <c r="I246" t="s">
        <v>42</v>
      </c>
      <c r="J246" t="s">
        <v>40</v>
      </c>
      <c r="K246" s="2">
        <v>40973</v>
      </c>
      <c r="L246" s="3">
        <f>DATEDIF(HR_Data[[#This Row],[DOB]],HR_Data[[#This Row],[Date of Hire]],"Y")</f>
        <v>48</v>
      </c>
      <c r="M246" s="2">
        <v>42312</v>
      </c>
      <c r="N246" s="4">
        <f>IFERROR(DATEDIF(HR_Data[[#This Row],[Date of Hire]],HR_Data[[#This Row],[Date of Termination]],"Y"),"")</f>
        <v>3</v>
      </c>
      <c r="O246" t="s">
        <v>50</v>
      </c>
      <c r="P246" t="s">
        <v>27</v>
      </c>
      <c r="Q246" t="s">
        <v>15</v>
      </c>
      <c r="R246" t="s">
        <v>154</v>
      </c>
      <c r="S246" t="s">
        <v>37</v>
      </c>
      <c r="T246" t="s">
        <v>1</v>
      </c>
      <c r="U246" s="5">
        <v>4.3</v>
      </c>
      <c r="V246" s="4">
        <v>4</v>
      </c>
      <c r="W246" s="4">
        <v>6</v>
      </c>
      <c r="X246" s="2">
        <v>42095</v>
      </c>
      <c r="Y246" s="4">
        <v>0</v>
      </c>
      <c r="Z246" s="4">
        <v>8</v>
      </c>
    </row>
    <row r="247" spans="1:26" x14ac:dyDescent="0.4">
      <c r="A247" t="s">
        <v>153</v>
      </c>
      <c r="B247" s="4">
        <v>10126</v>
      </c>
      <c r="C247" s="1">
        <v>86214</v>
      </c>
      <c r="D247" t="s">
        <v>93</v>
      </c>
      <c r="E247" t="s">
        <v>10</v>
      </c>
      <c r="F247" s="4">
        <v>2132</v>
      </c>
      <c r="G247" s="2">
        <v>31617</v>
      </c>
      <c r="H247" t="s">
        <v>9</v>
      </c>
      <c r="I247" t="s">
        <v>47</v>
      </c>
      <c r="J247" t="s">
        <v>16</v>
      </c>
      <c r="K247" s="2">
        <v>40974</v>
      </c>
      <c r="L247" s="3">
        <f>DATEDIF(HR_Data[[#This Row],[DOB]],HR_Data[[#This Row],[Date of Hire]],"Y")</f>
        <v>25</v>
      </c>
      <c r="N247" s="4" t="str">
        <f>IFERROR(DATEDIF(HR_Data[[#This Row],[Date of Hire]],HR_Data[[#This Row],[Date of Termination]],"Y"),"")</f>
        <v/>
      </c>
      <c r="O247" t="s">
        <v>6</v>
      </c>
      <c r="P247" t="s">
        <v>5</v>
      </c>
      <c r="Q247" t="s">
        <v>91</v>
      </c>
      <c r="R247" t="s">
        <v>90</v>
      </c>
      <c r="S247" t="s">
        <v>55</v>
      </c>
      <c r="T247" t="s">
        <v>1</v>
      </c>
      <c r="U247" s="5">
        <v>4.2</v>
      </c>
      <c r="V247" s="4">
        <v>3</v>
      </c>
      <c r="W247" s="4">
        <v>6</v>
      </c>
      <c r="X247" s="2">
        <v>43509</v>
      </c>
      <c r="Y247" s="4">
        <v>0</v>
      </c>
      <c r="Z247" s="4">
        <v>2</v>
      </c>
    </row>
    <row r="248" spans="1:26" x14ac:dyDescent="0.4">
      <c r="A248" t="s">
        <v>152</v>
      </c>
      <c r="B248" s="4">
        <v>10295</v>
      </c>
      <c r="C248" s="1">
        <v>47750</v>
      </c>
      <c r="D248" t="s">
        <v>11</v>
      </c>
      <c r="E248" t="s">
        <v>10</v>
      </c>
      <c r="F248" s="4">
        <v>1801</v>
      </c>
      <c r="G248" s="2">
        <v>24995</v>
      </c>
      <c r="H248" t="s">
        <v>9</v>
      </c>
      <c r="I248" t="s">
        <v>17</v>
      </c>
      <c r="J248" t="s">
        <v>40</v>
      </c>
      <c r="K248" s="2">
        <v>40975</v>
      </c>
      <c r="L248" s="3">
        <f>DATEDIF(HR_Data[[#This Row],[DOB]],HR_Data[[#This Row],[Date of Hire]],"Y")</f>
        <v>43</v>
      </c>
      <c r="N248" s="4" t="str">
        <f>IFERROR(DATEDIF(HR_Data[[#This Row],[Date of Hire]],HR_Data[[#This Row],[Date of Termination]],"Y"),"")</f>
        <v/>
      </c>
      <c r="O248" t="s">
        <v>6</v>
      </c>
      <c r="P248" t="s">
        <v>5</v>
      </c>
      <c r="Q248" t="s">
        <v>4</v>
      </c>
      <c r="R248" t="s">
        <v>69</v>
      </c>
      <c r="S248" t="s">
        <v>37</v>
      </c>
      <c r="T248" t="s">
        <v>59</v>
      </c>
      <c r="U248" s="5">
        <v>2.6</v>
      </c>
      <c r="V248" s="4">
        <v>4</v>
      </c>
      <c r="W248" s="4">
        <v>0</v>
      </c>
      <c r="X248" s="2">
        <v>43514</v>
      </c>
      <c r="Y248" s="4">
        <v>5</v>
      </c>
      <c r="Z248" s="4">
        <v>4</v>
      </c>
    </row>
    <row r="249" spans="1:26" x14ac:dyDescent="0.4">
      <c r="A249" t="s">
        <v>151</v>
      </c>
      <c r="B249" s="4">
        <v>10260</v>
      </c>
      <c r="C249" s="1">
        <v>46428</v>
      </c>
      <c r="D249" t="s">
        <v>11</v>
      </c>
      <c r="E249" t="s">
        <v>10</v>
      </c>
      <c r="F249" s="4">
        <v>2148</v>
      </c>
      <c r="G249" s="2">
        <v>27384</v>
      </c>
      <c r="H249" t="s">
        <v>31</v>
      </c>
      <c r="I249" t="s">
        <v>17</v>
      </c>
      <c r="J249" t="s">
        <v>16</v>
      </c>
      <c r="K249" s="2">
        <v>40976</v>
      </c>
      <c r="L249" s="3">
        <f>DATEDIF(HR_Data[[#This Row],[DOB]],HR_Data[[#This Row],[Date of Hire]],"Y")</f>
        <v>37</v>
      </c>
      <c r="M249" s="2">
        <v>43311</v>
      </c>
      <c r="N249" s="4">
        <f>IFERROR(DATEDIF(HR_Data[[#This Row],[Date of Hire]],HR_Data[[#This Row],[Date of Termination]],"Y"),"")</f>
        <v>6</v>
      </c>
      <c r="O249" t="s">
        <v>39</v>
      </c>
      <c r="P249" t="s">
        <v>27</v>
      </c>
      <c r="Q249" t="s">
        <v>4</v>
      </c>
      <c r="R249" t="s">
        <v>67</v>
      </c>
      <c r="S249" t="s">
        <v>25</v>
      </c>
      <c r="T249" t="s">
        <v>1</v>
      </c>
      <c r="U249" s="5">
        <v>4.5999999999999996</v>
      </c>
      <c r="V249" s="4">
        <v>5</v>
      </c>
      <c r="W249" s="4">
        <v>0</v>
      </c>
      <c r="X249" s="2">
        <v>43222</v>
      </c>
      <c r="Y249" s="4">
        <v>0</v>
      </c>
      <c r="Z249" s="4">
        <v>7</v>
      </c>
    </row>
    <row r="250" spans="1:26" x14ac:dyDescent="0.4">
      <c r="A250" t="s">
        <v>150</v>
      </c>
      <c r="B250" s="4">
        <v>10233</v>
      </c>
      <c r="C250" s="1">
        <v>57975</v>
      </c>
      <c r="D250" t="s">
        <v>32</v>
      </c>
      <c r="E250" t="s">
        <v>10</v>
      </c>
      <c r="F250" s="4">
        <v>2062</v>
      </c>
      <c r="G250" s="2">
        <v>31528</v>
      </c>
      <c r="H250" t="s">
        <v>31</v>
      </c>
      <c r="I250" t="s">
        <v>47</v>
      </c>
      <c r="J250" t="s">
        <v>16</v>
      </c>
      <c r="K250" s="2">
        <v>40977</v>
      </c>
      <c r="L250" s="3">
        <f>DATEDIF(HR_Data[[#This Row],[DOB]],HR_Data[[#This Row],[Date of Hire]],"Y")</f>
        <v>25</v>
      </c>
      <c r="N250" s="4" t="str">
        <f>IFERROR(DATEDIF(HR_Data[[#This Row],[Date of Hire]],HR_Data[[#This Row],[Date of Termination]],"Y"),"")</f>
        <v/>
      </c>
      <c r="O250" t="s">
        <v>6</v>
      </c>
      <c r="P250" t="s">
        <v>5</v>
      </c>
      <c r="Q250" t="s">
        <v>4</v>
      </c>
      <c r="R250" t="s">
        <v>69</v>
      </c>
      <c r="S250" t="s">
        <v>60</v>
      </c>
      <c r="T250" t="s">
        <v>1</v>
      </c>
      <c r="U250" s="5">
        <v>4.0999999999999996</v>
      </c>
      <c r="V250" s="4">
        <v>3</v>
      </c>
      <c r="W250" s="4">
        <v>0</v>
      </c>
      <c r="X250" s="2">
        <v>43739</v>
      </c>
      <c r="Y250" s="4">
        <v>0</v>
      </c>
      <c r="Z250" s="4">
        <v>13</v>
      </c>
    </row>
    <row r="251" spans="1:26" x14ac:dyDescent="0.4">
      <c r="A251" t="s">
        <v>149</v>
      </c>
      <c r="B251" s="4">
        <v>10229</v>
      </c>
      <c r="C251" s="1">
        <v>88527</v>
      </c>
      <c r="D251" t="s">
        <v>148</v>
      </c>
      <c r="E251" t="s">
        <v>10</v>
      </c>
      <c r="F251" s="4">
        <v>2452</v>
      </c>
      <c r="G251" s="2">
        <v>32128</v>
      </c>
      <c r="H251" t="s">
        <v>31</v>
      </c>
      <c r="I251" t="s">
        <v>42</v>
      </c>
      <c r="J251" t="s">
        <v>40</v>
      </c>
      <c r="K251" s="2">
        <v>40978</v>
      </c>
      <c r="L251" s="3">
        <f>DATEDIF(HR_Data[[#This Row],[DOB]],HR_Data[[#This Row],[Date of Hire]],"Y")</f>
        <v>24</v>
      </c>
      <c r="M251" s="2">
        <v>42308</v>
      </c>
      <c r="N251" s="4">
        <f>IFERROR(DATEDIF(HR_Data[[#This Row],[Date of Hire]],HR_Data[[#This Row],[Date of Termination]],"Y"),"")</f>
        <v>3</v>
      </c>
      <c r="O251" t="s">
        <v>50</v>
      </c>
      <c r="P251" t="s">
        <v>27</v>
      </c>
      <c r="Q251" t="s">
        <v>15</v>
      </c>
      <c r="R251" t="s">
        <v>14</v>
      </c>
      <c r="S251" t="s">
        <v>2</v>
      </c>
      <c r="T251" t="s">
        <v>1</v>
      </c>
      <c r="U251" s="5">
        <v>4.2</v>
      </c>
      <c r="V251" s="4">
        <v>3</v>
      </c>
      <c r="W251" s="4">
        <v>5</v>
      </c>
      <c r="X251" s="2">
        <v>42114</v>
      </c>
      <c r="Y251" s="4">
        <v>0</v>
      </c>
      <c r="Z251" s="4">
        <v>2</v>
      </c>
    </row>
    <row r="252" spans="1:26" x14ac:dyDescent="0.4">
      <c r="A252" t="s">
        <v>147</v>
      </c>
      <c r="B252" s="4">
        <v>10169</v>
      </c>
      <c r="C252" s="1">
        <v>56147</v>
      </c>
      <c r="D252" t="s">
        <v>11</v>
      </c>
      <c r="E252" t="s">
        <v>10</v>
      </c>
      <c r="F252" s="4">
        <v>2154</v>
      </c>
      <c r="G252" s="2">
        <v>32334</v>
      </c>
      <c r="H252" t="s">
        <v>9</v>
      </c>
      <c r="I252" t="s">
        <v>47</v>
      </c>
      <c r="J252" t="s">
        <v>40</v>
      </c>
      <c r="K252" s="2">
        <v>40979</v>
      </c>
      <c r="L252" s="3">
        <f>DATEDIF(HR_Data[[#This Row],[DOB]],HR_Data[[#This Row],[Date of Hire]],"Y")</f>
        <v>23</v>
      </c>
      <c r="N252" s="4" t="str">
        <f>IFERROR(DATEDIF(HR_Data[[#This Row],[Date of Hire]],HR_Data[[#This Row],[Date of Termination]],"Y"),"")</f>
        <v/>
      </c>
      <c r="O252" t="s">
        <v>6</v>
      </c>
      <c r="P252" t="s">
        <v>5</v>
      </c>
      <c r="Q252" t="s">
        <v>4</v>
      </c>
      <c r="R252" t="s">
        <v>61</v>
      </c>
      <c r="S252" t="s">
        <v>2</v>
      </c>
      <c r="T252" t="s">
        <v>1</v>
      </c>
      <c r="U252" s="5">
        <v>3.51</v>
      </c>
      <c r="V252" s="4">
        <v>3</v>
      </c>
      <c r="W252" s="4">
        <v>0</v>
      </c>
      <c r="X252" s="2">
        <v>43514</v>
      </c>
      <c r="Y252" s="4">
        <v>0</v>
      </c>
      <c r="Z252" s="4">
        <v>2</v>
      </c>
    </row>
    <row r="253" spans="1:26" x14ac:dyDescent="0.4">
      <c r="A253" t="s">
        <v>146</v>
      </c>
      <c r="B253" s="4">
        <v>10071</v>
      </c>
      <c r="C253" s="1">
        <v>50923</v>
      </c>
      <c r="D253" t="s">
        <v>11</v>
      </c>
      <c r="E253" t="s">
        <v>10</v>
      </c>
      <c r="F253" s="4">
        <v>2191</v>
      </c>
      <c r="G253" s="2">
        <v>27463</v>
      </c>
      <c r="H253" t="s">
        <v>9</v>
      </c>
      <c r="I253" t="s">
        <v>17</v>
      </c>
      <c r="J253" t="s">
        <v>7</v>
      </c>
      <c r="K253" s="2">
        <v>40980</v>
      </c>
      <c r="L253" s="3">
        <f>DATEDIF(HR_Data[[#This Row],[DOB]],HR_Data[[#This Row],[Date of Hire]],"Y")</f>
        <v>37</v>
      </c>
      <c r="N253" s="4" t="str">
        <f>IFERROR(DATEDIF(HR_Data[[#This Row],[Date of Hire]],HR_Data[[#This Row],[Date of Termination]],"Y"),"")</f>
        <v/>
      </c>
      <c r="O253" t="s">
        <v>6</v>
      </c>
      <c r="P253" t="s">
        <v>5</v>
      </c>
      <c r="Q253" t="s">
        <v>4</v>
      </c>
      <c r="R253" t="s">
        <v>49</v>
      </c>
      <c r="S253" t="s">
        <v>25</v>
      </c>
      <c r="T253" t="s">
        <v>1</v>
      </c>
      <c r="U253" s="5">
        <v>5</v>
      </c>
      <c r="V253" s="4">
        <v>5</v>
      </c>
      <c r="W253" s="4">
        <v>0</v>
      </c>
      <c r="X253" s="2">
        <v>43618</v>
      </c>
      <c r="Y253" s="4">
        <v>0</v>
      </c>
      <c r="Z253" s="4">
        <v>14</v>
      </c>
    </row>
    <row r="254" spans="1:26" x14ac:dyDescent="0.4">
      <c r="A254" t="s">
        <v>145</v>
      </c>
      <c r="B254" s="4">
        <v>10179</v>
      </c>
      <c r="C254" s="1">
        <v>50750</v>
      </c>
      <c r="D254" t="s">
        <v>87</v>
      </c>
      <c r="E254" t="s">
        <v>10</v>
      </c>
      <c r="F254" s="4">
        <v>1773</v>
      </c>
      <c r="G254" s="2">
        <v>29690</v>
      </c>
      <c r="H254" t="s">
        <v>9</v>
      </c>
      <c r="I254" t="s">
        <v>47</v>
      </c>
      <c r="J254" t="s">
        <v>16</v>
      </c>
      <c r="K254" s="2">
        <v>40981</v>
      </c>
      <c r="L254" s="3">
        <f>DATEDIF(HR_Data[[#This Row],[DOB]],HR_Data[[#This Row],[Date of Hire]],"Y")</f>
        <v>30</v>
      </c>
      <c r="N254" s="4" t="str">
        <f>IFERROR(DATEDIF(HR_Data[[#This Row],[Date of Hire]],HR_Data[[#This Row],[Date of Termination]],"Y"),"")</f>
        <v/>
      </c>
      <c r="O254" t="s">
        <v>6</v>
      </c>
      <c r="P254" t="s">
        <v>5</v>
      </c>
      <c r="Q254" t="s">
        <v>15</v>
      </c>
      <c r="R254" t="s">
        <v>52</v>
      </c>
      <c r="S254" t="s">
        <v>2</v>
      </c>
      <c r="T254" t="s">
        <v>1</v>
      </c>
      <c r="U254" s="5">
        <v>3.31</v>
      </c>
      <c r="V254" s="4">
        <v>3</v>
      </c>
      <c r="W254" s="4">
        <v>6</v>
      </c>
      <c r="X254" s="2">
        <v>43647</v>
      </c>
      <c r="Y254" s="4">
        <v>0</v>
      </c>
      <c r="Z254" s="4">
        <v>7</v>
      </c>
    </row>
    <row r="255" spans="1:26" x14ac:dyDescent="0.4">
      <c r="A255" t="s">
        <v>144</v>
      </c>
      <c r="B255" s="4">
        <v>10091</v>
      </c>
      <c r="C255" s="1">
        <v>52087</v>
      </c>
      <c r="D255" t="s">
        <v>11</v>
      </c>
      <c r="E255" t="s">
        <v>10</v>
      </c>
      <c r="F255" s="4">
        <v>2149</v>
      </c>
      <c r="G255" s="2">
        <v>31283</v>
      </c>
      <c r="H255" t="s">
        <v>9</v>
      </c>
      <c r="I255" t="s">
        <v>47</v>
      </c>
      <c r="J255" t="s">
        <v>16</v>
      </c>
      <c r="K255" s="2">
        <v>40982</v>
      </c>
      <c r="L255" s="3">
        <f>DATEDIF(HR_Data[[#This Row],[DOB]],HR_Data[[#This Row],[Date of Hire]],"Y")</f>
        <v>26</v>
      </c>
      <c r="N255" s="4" t="str">
        <f>IFERROR(DATEDIF(HR_Data[[#This Row],[Date of Hire]],HR_Data[[#This Row],[Date of Termination]],"Y"),"")</f>
        <v/>
      </c>
      <c r="O255" t="s">
        <v>6</v>
      </c>
      <c r="P255" t="s">
        <v>5</v>
      </c>
      <c r="Q255" t="s">
        <v>4</v>
      </c>
      <c r="R255" t="s">
        <v>45</v>
      </c>
      <c r="S255" t="s">
        <v>2</v>
      </c>
      <c r="T255" t="s">
        <v>1</v>
      </c>
      <c r="U255" s="5">
        <v>4.8099999999999996</v>
      </c>
      <c r="V255" s="4">
        <v>4</v>
      </c>
      <c r="W255" s="4">
        <v>0</v>
      </c>
      <c r="X255" s="2">
        <v>43511</v>
      </c>
      <c r="Y255" s="4">
        <v>0</v>
      </c>
      <c r="Z255" s="4">
        <v>15</v>
      </c>
    </row>
    <row r="256" spans="1:26" x14ac:dyDescent="0.4">
      <c r="A256" t="s">
        <v>143</v>
      </c>
      <c r="B256" s="4">
        <v>10178</v>
      </c>
      <c r="C256" s="1">
        <v>87826</v>
      </c>
      <c r="D256" t="s">
        <v>18</v>
      </c>
      <c r="E256" t="s">
        <v>10</v>
      </c>
      <c r="F256" s="4">
        <v>2110</v>
      </c>
      <c r="G256" s="2">
        <v>25607</v>
      </c>
      <c r="H256" t="s">
        <v>31</v>
      </c>
      <c r="I256" t="s">
        <v>47</v>
      </c>
      <c r="J256" t="s">
        <v>16</v>
      </c>
      <c r="K256" s="2">
        <v>40983</v>
      </c>
      <c r="L256" s="3">
        <f>DATEDIF(HR_Data[[#This Row],[DOB]],HR_Data[[#This Row],[Date of Hire]],"Y")</f>
        <v>42</v>
      </c>
      <c r="N256" s="4" t="str">
        <f>IFERROR(DATEDIF(HR_Data[[#This Row],[Date of Hire]],HR_Data[[#This Row],[Date of Termination]],"Y"),"")</f>
        <v/>
      </c>
      <c r="O256" t="s">
        <v>6</v>
      </c>
      <c r="P256" t="s">
        <v>5</v>
      </c>
      <c r="Q256" t="s">
        <v>15</v>
      </c>
      <c r="R256" t="s">
        <v>14</v>
      </c>
      <c r="S256" t="s">
        <v>13</v>
      </c>
      <c r="T256" t="s">
        <v>1</v>
      </c>
      <c r="U256" s="5">
        <v>3.32</v>
      </c>
      <c r="V256" s="4">
        <v>3</v>
      </c>
      <c r="W256" s="4">
        <v>7</v>
      </c>
      <c r="X256" s="2">
        <v>43479</v>
      </c>
      <c r="Y256" s="4">
        <v>0</v>
      </c>
      <c r="Z256" s="4">
        <v>16</v>
      </c>
    </row>
    <row r="257" spans="1:26" x14ac:dyDescent="0.4">
      <c r="A257" t="s">
        <v>142</v>
      </c>
      <c r="B257" s="4">
        <v>10039</v>
      </c>
      <c r="C257" s="1">
        <v>51920</v>
      </c>
      <c r="D257" t="s">
        <v>135</v>
      </c>
      <c r="E257" t="s">
        <v>10</v>
      </c>
      <c r="F257" s="4">
        <v>2330</v>
      </c>
      <c r="G257" s="2">
        <v>32282</v>
      </c>
      <c r="H257" t="s">
        <v>9</v>
      </c>
      <c r="I257" t="s">
        <v>17</v>
      </c>
      <c r="J257" t="s">
        <v>16</v>
      </c>
      <c r="K257" s="2">
        <v>40984</v>
      </c>
      <c r="L257" s="3">
        <f>DATEDIF(HR_Data[[#This Row],[DOB]],HR_Data[[#This Row],[Date of Hire]],"Y")</f>
        <v>23</v>
      </c>
      <c r="N257" s="4" t="str">
        <f>IFERROR(DATEDIF(HR_Data[[#This Row],[Date of Hire]],HR_Data[[#This Row],[Date of Termination]],"Y"),"")</f>
        <v/>
      </c>
      <c r="O257" t="s">
        <v>6</v>
      </c>
      <c r="P257" t="s">
        <v>5</v>
      </c>
      <c r="Q257" t="s">
        <v>121</v>
      </c>
      <c r="R257" t="s">
        <v>120</v>
      </c>
      <c r="S257" t="s">
        <v>44</v>
      </c>
      <c r="T257" t="s">
        <v>1</v>
      </c>
      <c r="U257" s="5">
        <v>5</v>
      </c>
      <c r="V257" s="4">
        <v>3</v>
      </c>
      <c r="W257" s="4">
        <v>5</v>
      </c>
      <c r="X257" s="2">
        <v>43480</v>
      </c>
      <c r="Y257" s="4">
        <v>0</v>
      </c>
      <c r="Z257" s="4">
        <v>2</v>
      </c>
    </row>
    <row r="258" spans="1:26" x14ac:dyDescent="0.4">
      <c r="A258" t="s">
        <v>141</v>
      </c>
      <c r="B258" s="4">
        <v>10095</v>
      </c>
      <c r="C258" s="1">
        <v>63878</v>
      </c>
      <c r="D258" t="s">
        <v>32</v>
      </c>
      <c r="E258" t="s">
        <v>10</v>
      </c>
      <c r="F258" s="4">
        <v>1851</v>
      </c>
      <c r="G258" s="2">
        <v>32106</v>
      </c>
      <c r="H258" t="s">
        <v>9</v>
      </c>
      <c r="I258" t="s">
        <v>17</v>
      </c>
      <c r="J258" t="s">
        <v>16</v>
      </c>
      <c r="K258" s="2">
        <v>40985</v>
      </c>
      <c r="L258" s="3">
        <f>DATEDIF(HR_Data[[#This Row],[DOB]],HR_Data[[#This Row],[Date of Hire]],"Y")</f>
        <v>24</v>
      </c>
      <c r="M258" s="2">
        <v>42102</v>
      </c>
      <c r="N258" s="4">
        <f>IFERROR(DATEDIF(HR_Data[[#This Row],[Date of Hire]],HR_Data[[#This Row],[Date of Termination]],"Y"),"")</f>
        <v>3</v>
      </c>
      <c r="O258" t="s">
        <v>82</v>
      </c>
      <c r="P258" t="s">
        <v>27</v>
      </c>
      <c r="Q258" t="s">
        <v>4</v>
      </c>
      <c r="R258" t="s">
        <v>67</v>
      </c>
      <c r="S258" t="s">
        <v>60</v>
      </c>
      <c r="T258" t="s">
        <v>1</v>
      </c>
      <c r="U258" s="5">
        <v>4.68</v>
      </c>
      <c r="V258" s="4">
        <v>4</v>
      </c>
      <c r="W258" s="4">
        <v>0</v>
      </c>
      <c r="X258" s="2">
        <v>42039</v>
      </c>
      <c r="Y258" s="4">
        <v>0</v>
      </c>
      <c r="Z258" s="4">
        <v>20</v>
      </c>
    </row>
    <row r="259" spans="1:26" x14ac:dyDescent="0.4">
      <c r="A259" t="s">
        <v>140</v>
      </c>
      <c r="B259" s="4">
        <v>10027</v>
      </c>
      <c r="C259" s="1">
        <v>60656</v>
      </c>
      <c r="D259" t="s">
        <v>32</v>
      </c>
      <c r="E259" t="s">
        <v>10</v>
      </c>
      <c r="F259" s="4">
        <v>2045</v>
      </c>
      <c r="G259" s="2">
        <v>23314</v>
      </c>
      <c r="H259" t="s">
        <v>31</v>
      </c>
      <c r="I259" t="s">
        <v>17</v>
      </c>
      <c r="J259" t="s">
        <v>16</v>
      </c>
      <c r="K259" s="2">
        <v>40986</v>
      </c>
      <c r="L259" s="3">
        <f>DATEDIF(HR_Data[[#This Row],[DOB]],HR_Data[[#This Row],[Date of Hire]],"Y")</f>
        <v>48</v>
      </c>
      <c r="N259" s="4" t="str">
        <f>IFERROR(DATEDIF(HR_Data[[#This Row],[Date of Hire]],HR_Data[[#This Row],[Date of Termination]],"Y"),"")</f>
        <v/>
      </c>
      <c r="O259" t="s">
        <v>6</v>
      </c>
      <c r="P259" t="s">
        <v>5</v>
      </c>
      <c r="Q259" t="s">
        <v>4</v>
      </c>
      <c r="R259" t="s">
        <v>61</v>
      </c>
      <c r="S259" t="s">
        <v>55</v>
      </c>
      <c r="T259" t="s">
        <v>20</v>
      </c>
      <c r="U259" s="5">
        <v>4.3</v>
      </c>
      <c r="V259" s="4">
        <v>3</v>
      </c>
      <c r="W259" s="4">
        <v>0</v>
      </c>
      <c r="X259" s="2">
        <v>43493</v>
      </c>
      <c r="Y259" s="4">
        <v>0</v>
      </c>
      <c r="Z259" s="4">
        <v>4</v>
      </c>
    </row>
    <row r="260" spans="1:26" x14ac:dyDescent="0.4">
      <c r="A260" t="s">
        <v>139</v>
      </c>
      <c r="B260" s="4">
        <v>10291</v>
      </c>
      <c r="C260" s="1">
        <v>72992</v>
      </c>
      <c r="D260" t="s">
        <v>138</v>
      </c>
      <c r="E260" t="s">
        <v>10</v>
      </c>
      <c r="F260" s="4">
        <v>1886</v>
      </c>
      <c r="G260" s="2">
        <v>30910</v>
      </c>
      <c r="H260" t="s">
        <v>31</v>
      </c>
      <c r="I260" t="s">
        <v>42</v>
      </c>
      <c r="J260" t="s">
        <v>40</v>
      </c>
      <c r="K260" s="2">
        <v>40987</v>
      </c>
      <c r="L260" s="3">
        <f>DATEDIF(HR_Data[[#This Row],[DOB]],HR_Data[[#This Row],[Date of Hire]],"Y")</f>
        <v>27</v>
      </c>
      <c r="N260" s="4" t="str">
        <f>IFERROR(DATEDIF(HR_Data[[#This Row],[Date of Hire]],HR_Data[[#This Row],[Date of Termination]],"Y"),"")</f>
        <v/>
      </c>
      <c r="O260" t="s">
        <v>6</v>
      </c>
      <c r="P260" t="s">
        <v>5</v>
      </c>
      <c r="Q260" t="s">
        <v>77</v>
      </c>
      <c r="R260" t="s">
        <v>137</v>
      </c>
      <c r="S260" t="s">
        <v>37</v>
      </c>
      <c r="T260" t="s">
        <v>59</v>
      </c>
      <c r="U260" s="5">
        <v>2.4</v>
      </c>
      <c r="V260" s="4">
        <v>4</v>
      </c>
      <c r="W260" s="4">
        <v>0</v>
      </c>
      <c r="X260" s="2">
        <v>43481</v>
      </c>
      <c r="Y260" s="4">
        <v>2</v>
      </c>
      <c r="Z260" s="4">
        <v>16</v>
      </c>
    </row>
    <row r="261" spans="1:26" x14ac:dyDescent="0.4">
      <c r="A261" t="s">
        <v>136</v>
      </c>
      <c r="B261" s="4">
        <v>10153</v>
      </c>
      <c r="C261" s="1">
        <v>55000</v>
      </c>
      <c r="D261" t="s">
        <v>135</v>
      </c>
      <c r="E261" t="s">
        <v>10</v>
      </c>
      <c r="F261" s="4">
        <v>1844</v>
      </c>
      <c r="G261" s="2">
        <v>31942</v>
      </c>
      <c r="H261" t="s">
        <v>9</v>
      </c>
      <c r="I261" t="s">
        <v>47</v>
      </c>
      <c r="J261" t="s">
        <v>40</v>
      </c>
      <c r="K261" s="2">
        <v>40988</v>
      </c>
      <c r="L261" s="3">
        <f>DATEDIF(HR_Data[[#This Row],[DOB]],HR_Data[[#This Row],[Date of Hire]],"Y")</f>
        <v>24</v>
      </c>
      <c r="M261" s="2">
        <v>41542</v>
      </c>
      <c r="N261" s="4">
        <f>IFERROR(DATEDIF(HR_Data[[#This Row],[Date of Hire]],HR_Data[[#This Row],[Date of Termination]],"Y"),"")</f>
        <v>1</v>
      </c>
      <c r="O261" t="s">
        <v>62</v>
      </c>
      <c r="P261" t="s">
        <v>27</v>
      </c>
      <c r="Q261" t="s">
        <v>121</v>
      </c>
      <c r="R261" t="s">
        <v>120</v>
      </c>
      <c r="S261" t="s">
        <v>37</v>
      </c>
      <c r="T261" t="s">
        <v>1</v>
      </c>
      <c r="U261" s="5">
        <v>3.8</v>
      </c>
      <c r="V261" s="4">
        <v>4</v>
      </c>
      <c r="W261" s="4">
        <v>4</v>
      </c>
      <c r="X261" s="2">
        <v>41501</v>
      </c>
      <c r="Y261" s="4">
        <v>0</v>
      </c>
      <c r="Z261" s="4">
        <v>17</v>
      </c>
    </row>
    <row r="262" spans="1:26" x14ac:dyDescent="0.4">
      <c r="A262" t="s">
        <v>134</v>
      </c>
      <c r="B262" s="4">
        <v>10157</v>
      </c>
      <c r="C262" s="1">
        <v>58939</v>
      </c>
      <c r="D262" t="s">
        <v>11</v>
      </c>
      <c r="E262" t="s">
        <v>10</v>
      </c>
      <c r="F262" s="4">
        <v>2130</v>
      </c>
      <c r="G262" s="2">
        <v>23775</v>
      </c>
      <c r="H262" t="s">
        <v>9</v>
      </c>
      <c r="I262" t="s">
        <v>17</v>
      </c>
      <c r="J262" t="s">
        <v>16</v>
      </c>
      <c r="K262" s="2">
        <v>40989</v>
      </c>
      <c r="L262" s="3">
        <f>DATEDIF(HR_Data[[#This Row],[DOB]],HR_Data[[#This Row],[Date of Hire]],"Y")</f>
        <v>47</v>
      </c>
      <c r="N262" s="4" t="str">
        <f>IFERROR(DATEDIF(HR_Data[[#This Row],[Date of Hire]],HR_Data[[#This Row],[Date of Termination]],"Y"),"")</f>
        <v/>
      </c>
      <c r="O262" t="s">
        <v>6</v>
      </c>
      <c r="P262" t="s">
        <v>5</v>
      </c>
      <c r="Q262" t="s">
        <v>4</v>
      </c>
      <c r="R262" t="s">
        <v>38</v>
      </c>
      <c r="S262" t="s">
        <v>13</v>
      </c>
      <c r="T262" t="s">
        <v>1</v>
      </c>
      <c r="U262" s="5">
        <v>3.73</v>
      </c>
      <c r="V262" s="4">
        <v>3</v>
      </c>
      <c r="W262" s="4">
        <v>0</v>
      </c>
      <c r="X262" s="2">
        <v>43489</v>
      </c>
      <c r="Y262" s="4">
        <v>0</v>
      </c>
      <c r="Z262" s="4">
        <v>16</v>
      </c>
    </row>
    <row r="263" spans="1:26" x14ac:dyDescent="0.4">
      <c r="A263" t="s">
        <v>133</v>
      </c>
      <c r="B263" s="4">
        <v>10119</v>
      </c>
      <c r="C263" s="1">
        <v>66593</v>
      </c>
      <c r="D263" t="s">
        <v>132</v>
      </c>
      <c r="E263" t="s">
        <v>10</v>
      </c>
      <c r="F263" s="4">
        <v>2360</v>
      </c>
      <c r="G263" s="2">
        <v>26735</v>
      </c>
      <c r="H263" t="s">
        <v>9</v>
      </c>
      <c r="I263" t="s">
        <v>47</v>
      </c>
      <c r="J263" t="s">
        <v>40</v>
      </c>
      <c r="K263" s="2">
        <v>40990</v>
      </c>
      <c r="L263" s="3">
        <f>DATEDIF(HR_Data[[#This Row],[DOB]],HR_Data[[#This Row],[Date of Hire]],"Y")</f>
        <v>39</v>
      </c>
      <c r="N263" s="4" t="str">
        <f>IFERROR(DATEDIF(HR_Data[[#This Row],[Date of Hire]],HR_Data[[#This Row],[Date of Termination]],"Y"),"")</f>
        <v/>
      </c>
      <c r="O263" t="s">
        <v>6</v>
      </c>
      <c r="P263" t="s">
        <v>5</v>
      </c>
      <c r="Q263" t="s">
        <v>15</v>
      </c>
      <c r="R263" t="s">
        <v>131</v>
      </c>
      <c r="S263" t="s">
        <v>2</v>
      </c>
      <c r="T263" t="s">
        <v>1</v>
      </c>
      <c r="U263" s="5">
        <v>4.3</v>
      </c>
      <c r="V263" s="4">
        <v>3</v>
      </c>
      <c r="W263" s="4">
        <v>5</v>
      </c>
      <c r="X263" s="2">
        <v>43679</v>
      </c>
      <c r="Y263" s="4">
        <v>0</v>
      </c>
      <c r="Z263" s="4">
        <v>19</v>
      </c>
    </row>
    <row r="264" spans="1:26" x14ac:dyDescent="0.4">
      <c r="A264" t="s">
        <v>130</v>
      </c>
      <c r="B264" s="4">
        <v>10180</v>
      </c>
      <c r="C264" s="1">
        <v>87565</v>
      </c>
      <c r="D264" t="s">
        <v>53</v>
      </c>
      <c r="E264" t="s">
        <v>10</v>
      </c>
      <c r="F264" s="4">
        <v>1545</v>
      </c>
      <c r="G264" s="2">
        <v>30356</v>
      </c>
      <c r="H264" t="s">
        <v>31</v>
      </c>
      <c r="I264" t="s">
        <v>47</v>
      </c>
      <c r="J264" t="s">
        <v>7</v>
      </c>
      <c r="K264" s="2">
        <v>40991</v>
      </c>
      <c r="L264" s="3">
        <f>DATEDIF(HR_Data[[#This Row],[DOB]],HR_Data[[#This Row],[Date of Hire]],"Y")</f>
        <v>29</v>
      </c>
      <c r="N264" s="4" t="str">
        <f>IFERROR(DATEDIF(HR_Data[[#This Row],[Date of Hire]],HR_Data[[#This Row],[Date of Termination]],"Y"),"")</f>
        <v/>
      </c>
      <c r="O264" t="s">
        <v>6</v>
      </c>
      <c r="P264" t="s">
        <v>5</v>
      </c>
      <c r="Q264" t="s">
        <v>15</v>
      </c>
      <c r="R264" t="s">
        <v>52</v>
      </c>
      <c r="S264" t="s">
        <v>2</v>
      </c>
      <c r="T264" t="s">
        <v>1</v>
      </c>
      <c r="U264" s="5">
        <v>3.27</v>
      </c>
      <c r="V264" s="4">
        <v>4</v>
      </c>
      <c r="W264" s="4">
        <v>5</v>
      </c>
      <c r="X264" s="2">
        <v>43479</v>
      </c>
      <c r="Y264" s="4">
        <v>0</v>
      </c>
      <c r="Z264" s="4">
        <v>13</v>
      </c>
    </row>
    <row r="265" spans="1:26" x14ac:dyDescent="0.4">
      <c r="A265" t="s">
        <v>129</v>
      </c>
      <c r="B265" s="4">
        <v>10302</v>
      </c>
      <c r="C265" s="1">
        <v>64021</v>
      </c>
      <c r="D265" t="s">
        <v>11</v>
      </c>
      <c r="E265" t="s">
        <v>10</v>
      </c>
      <c r="F265" s="4">
        <v>2093</v>
      </c>
      <c r="G265" s="2">
        <v>25039</v>
      </c>
      <c r="H265" t="s">
        <v>9</v>
      </c>
      <c r="I265" t="s">
        <v>47</v>
      </c>
      <c r="J265" t="s">
        <v>16</v>
      </c>
      <c r="K265" s="2">
        <v>40992</v>
      </c>
      <c r="L265" s="3">
        <f>DATEDIF(HR_Data[[#This Row],[DOB]],HR_Data[[#This Row],[Date of Hire]],"Y")</f>
        <v>43</v>
      </c>
      <c r="N265" s="4" t="str">
        <f>IFERROR(DATEDIF(HR_Data[[#This Row],[Date of Hire]],HR_Data[[#This Row],[Date of Termination]],"Y"),"")</f>
        <v/>
      </c>
      <c r="O265" t="s">
        <v>6</v>
      </c>
      <c r="P265" t="s">
        <v>5</v>
      </c>
      <c r="Q265" t="s">
        <v>4</v>
      </c>
      <c r="R265" t="s">
        <v>26</v>
      </c>
      <c r="S265" t="s">
        <v>55</v>
      </c>
      <c r="T265" t="s">
        <v>24</v>
      </c>
      <c r="U265" s="5">
        <v>2.4</v>
      </c>
      <c r="V265" s="4">
        <v>2</v>
      </c>
      <c r="W265" s="4">
        <v>1</v>
      </c>
      <c r="X265" s="2">
        <v>43521</v>
      </c>
      <c r="Y265" s="4">
        <v>6</v>
      </c>
      <c r="Z265" s="4">
        <v>20</v>
      </c>
    </row>
    <row r="266" spans="1:26" x14ac:dyDescent="0.4">
      <c r="A266" t="s">
        <v>128</v>
      </c>
      <c r="B266" s="4">
        <v>10090</v>
      </c>
      <c r="C266" s="1">
        <v>65714</v>
      </c>
      <c r="D266" t="s">
        <v>64</v>
      </c>
      <c r="E266" t="s">
        <v>10</v>
      </c>
      <c r="F266" s="4">
        <v>2451</v>
      </c>
      <c r="G266" s="2">
        <v>27667</v>
      </c>
      <c r="H266" t="s">
        <v>9</v>
      </c>
      <c r="I266" t="s">
        <v>47</v>
      </c>
      <c r="J266" t="s">
        <v>16</v>
      </c>
      <c r="K266" s="2">
        <v>40993</v>
      </c>
      <c r="L266" s="3">
        <f>DATEDIF(HR_Data[[#This Row],[DOB]],HR_Data[[#This Row],[Date of Hire]],"Y")</f>
        <v>36</v>
      </c>
      <c r="N266" s="4" t="str">
        <f>IFERROR(DATEDIF(HR_Data[[#This Row],[Date of Hire]],HR_Data[[#This Row],[Date of Termination]],"Y"),"")</f>
        <v/>
      </c>
      <c r="O266" t="s">
        <v>6</v>
      </c>
      <c r="P266" t="s">
        <v>5</v>
      </c>
      <c r="Q266" t="s">
        <v>4</v>
      </c>
      <c r="R266" t="s">
        <v>21</v>
      </c>
      <c r="S266" t="s">
        <v>2</v>
      </c>
      <c r="T266" t="s">
        <v>1</v>
      </c>
      <c r="U266" s="5">
        <v>4.83</v>
      </c>
      <c r="V266" s="4">
        <v>5</v>
      </c>
      <c r="W266" s="4">
        <v>0</v>
      </c>
      <c r="X266" s="2">
        <v>43510</v>
      </c>
      <c r="Y266" s="4">
        <v>0</v>
      </c>
      <c r="Z266" s="4">
        <v>15</v>
      </c>
    </row>
    <row r="267" spans="1:26" x14ac:dyDescent="0.4">
      <c r="A267" t="s">
        <v>127</v>
      </c>
      <c r="B267" s="4">
        <v>10030</v>
      </c>
      <c r="C267" s="1">
        <v>62425</v>
      </c>
      <c r="D267" t="s">
        <v>11</v>
      </c>
      <c r="E267" t="s">
        <v>10</v>
      </c>
      <c r="F267" s="4">
        <v>2359</v>
      </c>
      <c r="G267" s="2">
        <v>26749</v>
      </c>
      <c r="H267" t="s">
        <v>9</v>
      </c>
      <c r="I267" t="s">
        <v>42</v>
      </c>
      <c r="J267" t="s">
        <v>16</v>
      </c>
      <c r="K267" s="2">
        <v>40994</v>
      </c>
      <c r="L267" s="3">
        <f>DATEDIF(HR_Data[[#This Row],[DOB]],HR_Data[[#This Row],[Date of Hire]],"Y")</f>
        <v>39</v>
      </c>
      <c r="M267" s="2">
        <v>42184</v>
      </c>
      <c r="N267" s="4">
        <f>IFERROR(DATEDIF(HR_Data[[#This Row],[Date of Hire]],HR_Data[[#This Row],[Date of Termination]],"Y"),"")</f>
        <v>3</v>
      </c>
      <c r="O267" t="s">
        <v>46</v>
      </c>
      <c r="P267" t="s">
        <v>27</v>
      </c>
      <c r="Q267" t="s">
        <v>4</v>
      </c>
      <c r="R267" t="s">
        <v>3</v>
      </c>
      <c r="S267" t="s">
        <v>2</v>
      </c>
      <c r="T267" t="s">
        <v>20</v>
      </c>
      <c r="U267" s="5">
        <v>4.0999999999999996</v>
      </c>
      <c r="V267" s="4">
        <v>4</v>
      </c>
      <c r="W267" s="4">
        <v>0</v>
      </c>
      <c r="X267" s="2">
        <v>42038</v>
      </c>
      <c r="Y267" s="4">
        <v>0</v>
      </c>
      <c r="Z267" s="4">
        <v>16</v>
      </c>
    </row>
    <row r="268" spans="1:26" x14ac:dyDescent="0.4">
      <c r="A268" t="s">
        <v>126</v>
      </c>
      <c r="B268" s="4">
        <v>10278</v>
      </c>
      <c r="C268" s="1">
        <v>47961</v>
      </c>
      <c r="D268" t="s">
        <v>11</v>
      </c>
      <c r="E268" t="s">
        <v>10</v>
      </c>
      <c r="F268" s="4">
        <v>2050</v>
      </c>
      <c r="G268" s="2">
        <v>30188</v>
      </c>
      <c r="H268" t="s">
        <v>9</v>
      </c>
      <c r="I268" t="s">
        <v>42</v>
      </c>
      <c r="J268" t="s">
        <v>84</v>
      </c>
      <c r="K268" s="2">
        <v>40995</v>
      </c>
      <c r="L268" s="3">
        <f>DATEDIF(HR_Data[[#This Row],[DOB]],HR_Data[[#This Row],[Date of Hire]],"Y")</f>
        <v>29</v>
      </c>
      <c r="N268" s="4" t="str">
        <f>IFERROR(DATEDIF(HR_Data[[#This Row],[Date of Hire]],HR_Data[[#This Row],[Date of Termination]],"Y"),"")</f>
        <v/>
      </c>
      <c r="O268" t="s">
        <v>6</v>
      </c>
      <c r="P268" t="s">
        <v>5</v>
      </c>
      <c r="Q268" t="s">
        <v>4</v>
      </c>
      <c r="R268" t="s">
        <v>30</v>
      </c>
      <c r="S268" t="s">
        <v>25</v>
      </c>
      <c r="T268" t="s">
        <v>1</v>
      </c>
      <c r="U268" s="5">
        <v>4.0999999999999996</v>
      </c>
      <c r="V268" s="4">
        <v>4</v>
      </c>
      <c r="W268" s="4">
        <v>0</v>
      </c>
      <c r="X268" s="2">
        <v>43648</v>
      </c>
      <c r="Y268" s="4">
        <v>0</v>
      </c>
      <c r="Z268" s="4">
        <v>9</v>
      </c>
    </row>
    <row r="269" spans="1:26" x14ac:dyDescent="0.4">
      <c r="A269" t="s">
        <v>125</v>
      </c>
      <c r="B269" s="4">
        <v>10307</v>
      </c>
      <c r="C269" s="1">
        <v>58273</v>
      </c>
      <c r="D269" t="s">
        <v>79</v>
      </c>
      <c r="E269" t="s">
        <v>124</v>
      </c>
      <c r="F269" s="4">
        <v>89139</v>
      </c>
      <c r="G269" s="2">
        <v>27158</v>
      </c>
      <c r="H269" t="s">
        <v>31</v>
      </c>
      <c r="I269" t="s">
        <v>47</v>
      </c>
      <c r="J269" t="s">
        <v>16</v>
      </c>
      <c r="K269" s="2">
        <v>40996</v>
      </c>
      <c r="L269" s="3">
        <f>DATEDIF(HR_Data[[#This Row],[DOB]],HR_Data[[#This Row],[Date of Hire]],"Y")</f>
        <v>37</v>
      </c>
      <c r="N269" s="4" t="str">
        <f>IFERROR(DATEDIF(HR_Data[[#This Row],[Date of Hire]],HR_Data[[#This Row],[Date of Termination]],"Y"),"")</f>
        <v/>
      </c>
      <c r="O269" t="s">
        <v>6</v>
      </c>
      <c r="P269" t="s">
        <v>5</v>
      </c>
      <c r="Q269" t="s">
        <v>77</v>
      </c>
      <c r="R269" t="s">
        <v>97</v>
      </c>
      <c r="S269" t="s">
        <v>44</v>
      </c>
      <c r="T269" t="s">
        <v>24</v>
      </c>
      <c r="U269" s="5">
        <v>1.81</v>
      </c>
      <c r="V269" s="4">
        <v>2</v>
      </c>
      <c r="W269" s="4">
        <v>0</v>
      </c>
      <c r="X269" s="2">
        <v>43482</v>
      </c>
      <c r="Y269" s="4">
        <v>3</v>
      </c>
      <c r="Z269" s="4">
        <v>5</v>
      </c>
    </row>
    <row r="270" spans="1:26" x14ac:dyDescent="0.4">
      <c r="A270" t="s">
        <v>123</v>
      </c>
      <c r="B270" s="4">
        <v>10147</v>
      </c>
      <c r="C270" s="1">
        <v>63003</v>
      </c>
      <c r="D270" t="s">
        <v>122</v>
      </c>
      <c r="E270" t="s">
        <v>10</v>
      </c>
      <c r="F270" s="4">
        <v>2703</v>
      </c>
      <c r="G270" s="2">
        <v>31656</v>
      </c>
      <c r="H270" t="s">
        <v>31</v>
      </c>
      <c r="I270" t="s">
        <v>17</v>
      </c>
      <c r="J270" t="s">
        <v>16</v>
      </c>
      <c r="K270" s="2">
        <v>40997</v>
      </c>
      <c r="L270" s="3">
        <f>DATEDIF(HR_Data[[#This Row],[DOB]],HR_Data[[#This Row],[Date of Hire]],"Y")</f>
        <v>25</v>
      </c>
      <c r="N270" s="4" t="str">
        <f>IFERROR(DATEDIF(HR_Data[[#This Row],[Date of Hire]],HR_Data[[#This Row],[Date of Termination]],"Y"),"")</f>
        <v/>
      </c>
      <c r="O270" t="s">
        <v>6</v>
      </c>
      <c r="P270" t="s">
        <v>5</v>
      </c>
      <c r="Q270" t="s">
        <v>121</v>
      </c>
      <c r="R270" t="s">
        <v>120</v>
      </c>
      <c r="S270" t="s">
        <v>55</v>
      </c>
      <c r="T270" t="s">
        <v>1</v>
      </c>
      <c r="U270" s="5">
        <v>3.9</v>
      </c>
      <c r="V270" s="4">
        <v>5</v>
      </c>
      <c r="W270" s="4">
        <v>5</v>
      </c>
      <c r="X270" s="2">
        <v>43483</v>
      </c>
      <c r="Y270" s="4">
        <v>0</v>
      </c>
      <c r="Z270" s="4">
        <v>9</v>
      </c>
    </row>
    <row r="271" spans="1:26" x14ac:dyDescent="0.4">
      <c r="A271" t="s">
        <v>119</v>
      </c>
      <c r="B271" s="4">
        <v>10266</v>
      </c>
      <c r="C271" s="1">
        <v>61355</v>
      </c>
      <c r="D271" t="s">
        <v>11</v>
      </c>
      <c r="E271" t="s">
        <v>10</v>
      </c>
      <c r="F271" s="4">
        <v>2301</v>
      </c>
      <c r="G271" s="2">
        <v>31120</v>
      </c>
      <c r="H271" t="s">
        <v>31</v>
      </c>
      <c r="I271" t="s">
        <v>47</v>
      </c>
      <c r="J271" t="s">
        <v>7</v>
      </c>
      <c r="K271" s="2">
        <v>40998</v>
      </c>
      <c r="L271" s="3">
        <f>DATEDIF(HR_Data[[#This Row],[DOB]],HR_Data[[#This Row],[Date of Hire]],"Y")</f>
        <v>27</v>
      </c>
      <c r="N271" s="4" t="str">
        <f>IFERROR(DATEDIF(HR_Data[[#This Row],[Date of Hire]],HR_Data[[#This Row],[Date of Termination]],"Y"),"")</f>
        <v/>
      </c>
      <c r="O271" t="s">
        <v>6</v>
      </c>
      <c r="P271" t="s">
        <v>5</v>
      </c>
      <c r="Q271" t="s">
        <v>4</v>
      </c>
      <c r="R271" t="s">
        <v>69</v>
      </c>
      <c r="S271" t="s">
        <v>2</v>
      </c>
      <c r="T271" t="s">
        <v>1</v>
      </c>
      <c r="U271" s="5">
        <v>4.7</v>
      </c>
      <c r="V271" s="4">
        <v>3</v>
      </c>
      <c r="W271" s="4">
        <v>0</v>
      </c>
      <c r="X271" s="2">
        <v>43770</v>
      </c>
      <c r="Y271" s="4">
        <v>0</v>
      </c>
      <c r="Z271" s="4">
        <v>4</v>
      </c>
    </row>
    <row r="272" spans="1:26" x14ac:dyDescent="0.4">
      <c r="A272" t="s">
        <v>118</v>
      </c>
      <c r="B272" s="4">
        <v>10241</v>
      </c>
      <c r="C272" s="1">
        <v>60120</v>
      </c>
      <c r="D272" t="s">
        <v>79</v>
      </c>
      <c r="E272" t="s">
        <v>117</v>
      </c>
      <c r="F272" s="4">
        <v>59102</v>
      </c>
      <c r="G272" s="2">
        <v>32640</v>
      </c>
      <c r="H272" t="s">
        <v>9</v>
      </c>
      <c r="I272" t="s">
        <v>47</v>
      </c>
      <c r="J272" t="s">
        <v>40</v>
      </c>
      <c r="K272" s="2">
        <v>40999</v>
      </c>
      <c r="L272" s="3">
        <f>DATEDIF(HR_Data[[#This Row],[DOB]],HR_Data[[#This Row],[Date of Hire]],"Y")</f>
        <v>22</v>
      </c>
      <c r="N272" s="4" t="str">
        <f>IFERROR(DATEDIF(HR_Data[[#This Row],[Date of Hire]],HR_Data[[#This Row],[Date of Termination]],"Y"),"")</f>
        <v/>
      </c>
      <c r="O272" t="s">
        <v>6</v>
      </c>
      <c r="P272" t="s">
        <v>5</v>
      </c>
      <c r="Q272" t="s">
        <v>77</v>
      </c>
      <c r="R272" t="s">
        <v>76</v>
      </c>
      <c r="S272" t="s">
        <v>55</v>
      </c>
      <c r="T272" t="s">
        <v>1</v>
      </c>
      <c r="U272" s="5">
        <v>4.0999999999999996</v>
      </c>
      <c r="V272" s="4">
        <v>4</v>
      </c>
      <c r="W272" s="4">
        <v>0</v>
      </c>
      <c r="X272" s="2">
        <v>43496</v>
      </c>
      <c r="Y272" s="4">
        <v>0</v>
      </c>
      <c r="Z272" s="4">
        <v>18</v>
      </c>
    </row>
    <row r="273" spans="1:26" x14ac:dyDescent="0.4">
      <c r="A273" t="s">
        <v>116</v>
      </c>
      <c r="B273" s="4">
        <v>10158</v>
      </c>
      <c r="C273" s="1">
        <v>63682</v>
      </c>
      <c r="D273" t="s">
        <v>64</v>
      </c>
      <c r="E273" t="s">
        <v>10</v>
      </c>
      <c r="F273" s="4">
        <v>1776</v>
      </c>
      <c r="G273" s="2">
        <v>28577</v>
      </c>
      <c r="H273" t="s">
        <v>9</v>
      </c>
      <c r="I273" t="s">
        <v>47</v>
      </c>
      <c r="J273" t="s">
        <v>40</v>
      </c>
      <c r="K273" s="2">
        <v>41000</v>
      </c>
      <c r="L273" s="3">
        <f>DATEDIF(HR_Data[[#This Row],[DOB]],HR_Data[[#This Row],[Date of Hire]],"Y")</f>
        <v>34</v>
      </c>
      <c r="N273" s="4" t="str">
        <f>IFERROR(DATEDIF(HR_Data[[#This Row],[Date of Hire]],HR_Data[[#This Row],[Date of Termination]],"Y"),"")</f>
        <v/>
      </c>
      <c r="O273" t="s">
        <v>6</v>
      </c>
      <c r="P273" t="s">
        <v>5</v>
      </c>
      <c r="Q273" t="s">
        <v>4</v>
      </c>
      <c r="R273" t="s">
        <v>21</v>
      </c>
      <c r="S273" t="s">
        <v>55</v>
      </c>
      <c r="T273" t="s">
        <v>1</v>
      </c>
      <c r="U273" s="5">
        <v>3.73</v>
      </c>
      <c r="V273" s="4">
        <v>4</v>
      </c>
      <c r="W273" s="4">
        <v>0</v>
      </c>
      <c r="X273" s="2">
        <v>43489</v>
      </c>
      <c r="Y273" s="4">
        <v>0</v>
      </c>
      <c r="Z273" s="4">
        <v>12</v>
      </c>
    </row>
    <row r="274" spans="1:26" x14ac:dyDescent="0.4">
      <c r="A274" t="s">
        <v>115</v>
      </c>
      <c r="B274" s="4">
        <v>10117</v>
      </c>
      <c r="C274" s="1">
        <v>63025</v>
      </c>
      <c r="D274" t="s">
        <v>11</v>
      </c>
      <c r="E274" t="s">
        <v>10</v>
      </c>
      <c r="F274" s="4">
        <v>2747</v>
      </c>
      <c r="G274" s="2">
        <v>30231</v>
      </c>
      <c r="H274" t="s">
        <v>31</v>
      </c>
      <c r="I274" t="s">
        <v>47</v>
      </c>
      <c r="J274" t="s">
        <v>16</v>
      </c>
      <c r="K274" s="2">
        <v>41001</v>
      </c>
      <c r="L274" s="3">
        <f>DATEDIF(HR_Data[[#This Row],[DOB]],HR_Data[[#This Row],[Date of Hire]],"Y")</f>
        <v>29</v>
      </c>
      <c r="N274" s="4" t="str">
        <f>IFERROR(DATEDIF(HR_Data[[#This Row],[Date of Hire]],HR_Data[[#This Row],[Date of Termination]],"Y"),"")</f>
        <v/>
      </c>
      <c r="O274" t="s">
        <v>6</v>
      </c>
      <c r="P274" t="s">
        <v>5</v>
      </c>
      <c r="Q274" t="s">
        <v>4</v>
      </c>
      <c r="R274" t="s">
        <v>67</v>
      </c>
      <c r="S274" t="s">
        <v>25</v>
      </c>
      <c r="T274" t="s">
        <v>1</v>
      </c>
      <c r="U274" s="5">
        <v>4.3600000000000003</v>
      </c>
      <c r="V274" s="4">
        <v>5</v>
      </c>
      <c r="W274" s="4">
        <v>0</v>
      </c>
      <c r="X274" s="2">
        <v>43489</v>
      </c>
      <c r="Y274" s="4">
        <v>0</v>
      </c>
      <c r="Z274" s="4">
        <v>10</v>
      </c>
    </row>
    <row r="275" spans="1:26" x14ac:dyDescent="0.4">
      <c r="A275" t="s">
        <v>114</v>
      </c>
      <c r="B275" s="4">
        <v>10209</v>
      </c>
      <c r="C275" s="1">
        <v>59238</v>
      </c>
      <c r="D275" t="s">
        <v>11</v>
      </c>
      <c r="E275" t="s">
        <v>10</v>
      </c>
      <c r="F275" s="4">
        <v>2718</v>
      </c>
      <c r="G275" s="2">
        <v>25065</v>
      </c>
      <c r="H275" t="s">
        <v>9</v>
      </c>
      <c r="I275" t="s">
        <v>17</v>
      </c>
      <c r="J275" t="s">
        <v>7</v>
      </c>
      <c r="K275" s="2">
        <v>41002</v>
      </c>
      <c r="L275" s="3">
        <f>DATEDIF(HR_Data[[#This Row],[DOB]],HR_Data[[#This Row],[Date of Hire]],"Y")</f>
        <v>43</v>
      </c>
      <c r="N275" s="4" t="str">
        <f>IFERROR(DATEDIF(HR_Data[[#This Row],[Date of Hire]],HR_Data[[#This Row],[Date of Termination]],"Y"),"")</f>
        <v/>
      </c>
      <c r="O275" t="s">
        <v>6</v>
      </c>
      <c r="P275" t="s">
        <v>5</v>
      </c>
      <c r="Q275" t="s">
        <v>4</v>
      </c>
      <c r="R275" t="s">
        <v>61</v>
      </c>
      <c r="S275" t="s">
        <v>55</v>
      </c>
      <c r="T275" t="s">
        <v>1</v>
      </c>
      <c r="U275" s="5">
        <v>3.4</v>
      </c>
      <c r="V275" s="4">
        <v>5</v>
      </c>
      <c r="W275" s="4">
        <v>0</v>
      </c>
      <c r="X275" s="2">
        <v>43496</v>
      </c>
      <c r="Y275" s="4">
        <v>0</v>
      </c>
      <c r="Z275" s="4">
        <v>13</v>
      </c>
    </row>
    <row r="276" spans="1:26" x14ac:dyDescent="0.4">
      <c r="A276" t="s">
        <v>113</v>
      </c>
      <c r="B276" s="4">
        <v>10024</v>
      </c>
      <c r="C276" s="1">
        <v>92989</v>
      </c>
      <c r="D276" t="s">
        <v>93</v>
      </c>
      <c r="E276" t="s">
        <v>10</v>
      </c>
      <c r="F276" s="4">
        <v>2140</v>
      </c>
      <c r="G276" s="2">
        <v>30442</v>
      </c>
      <c r="H276" t="s">
        <v>31</v>
      </c>
      <c r="I276" t="s">
        <v>17</v>
      </c>
      <c r="J276" t="s">
        <v>16</v>
      </c>
      <c r="K276" s="2">
        <v>41003</v>
      </c>
      <c r="L276" s="3">
        <f>DATEDIF(HR_Data[[#This Row],[DOB]],HR_Data[[#This Row],[Date of Hire]],"Y")</f>
        <v>28</v>
      </c>
      <c r="N276" s="4" t="str">
        <f>IFERROR(DATEDIF(HR_Data[[#This Row],[Date of Hire]],HR_Data[[#This Row],[Date of Termination]],"Y"),"")</f>
        <v/>
      </c>
      <c r="O276" t="s">
        <v>6</v>
      </c>
      <c r="P276" t="s">
        <v>5</v>
      </c>
      <c r="Q276" t="s">
        <v>91</v>
      </c>
      <c r="R276" t="s">
        <v>90</v>
      </c>
      <c r="S276" t="s">
        <v>2</v>
      </c>
      <c r="T276" t="s">
        <v>20</v>
      </c>
      <c r="U276" s="5">
        <v>4.5</v>
      </c>
      <c r="V276" s="4">
        <v>5</v>
      </c>
      <c r="W276" s="4">
        <v>5</v>
      </c>
      <c r="X276" s="2">
        <v>43514</v>
      </c>
      <c r="Y276" s="4">
        <v>0</v>
      </c>
      <c r="Z276" s="4">
        <v>1</v>
      </c>
    </row>
    <row r="277" spans="1:26" x14ac:dyDescent="0.4">
      <c r="A277" t="s">
        <v>112</v>
      </c>
      <c r="B277" s="4">
        <v>10173</v>
      </c>
      <c r="C277" s="1">
        <v>90100</v>
      </c>
      <c r="D277" t="s">
        <v>111</v>
      </c>
      <c r="E277" t="s">
        <v>10</v>
      </c>
      <c r="F277" s="4">
        <v>2134</v>
      </c>
      <c r="G277" s="2">
        <v>32074</v>
      </c>
      <c r="H277" t="s">
        <v>31</v>
      </c>
      <c r="I277" t="s">
        <v>47</v>
      </c>
      <c r="J277" t="s">
        <v>16</v>
      </c>
      <c r="K277" s="2">
        <v>41004</v>
      </c>
      <c r="L277" s="3">
        <f>DATEDIF(HR_Data[[#This Row],[DOB]],HR_Data[[#This Row],[Date of Hire]],"Y")</f>
        <v>24</v>
      </c>
      <c r="N277" s="4" t="str">
        <f>IFERROR(DATEDIF(HR_Data[[#This Row],[Date of Hire]],HR_Data[[#This Row],[Date of Termination]],"Y"),"")</f>
        <v/>
      </c>
      <c r="O277" t="s">
        <v>6</v>
      </c>
      <c r="P277" t="s">
        <v>5</v>
      </c>
      <c r="Q277" t="s">
        <v>15</v>
      </c>
      <c r="R277" t="s">
        <v>56</v>
      </c>
      <c r="S277" t="s">
        <v>55</v>
      </c>
      <c r="T277" t="s">
        <v>1</v>
      </c>
      <c r="U277" s="5">
        <v>3.4</v>
      </c>
      <c r="V277" s="4">
        <v>3</v>
      </c>
      <c r="W277" s="4">
        <v>6</v>
      </c>
      <c r="X277" s="2">
        <v>43497</v>
      </c>
      <c r="Y277" s="4">
        <v>0</v>
      </c>
      <c r="Z277" s="4">
        <v>14</v>
      </c>
    </row>
    <row r="278" spans="1:26" x14ac:dyDescent="0.4">
      <c r="A278" t="s">
        <v>110</v>
      </c>
      <c r="B278" s="4">
        <v>10221</v>
      </c>
      <c r="C278" s="1">
        <v>60754</v>
      </c>
      <c r="D278" t="s">
        <v>11</v>
      </c>
      <c r="E278" t="s">
        <v>10</v>
      </c>
      <c r="F278" s="4">
        <v>1801</v>
      </c>
      <c r="G278" s="2">
        <v>27487</v>
      </c>
      <c r="H278" t="s">
        <v>9</v>
      </c>
      <c r="I278" t="s">
        <v>47</v>
      </c>
      <c r="J278" t="s">
        <v>40</v>
      </c>
      <c r="K278" s="2">
        <v>41005</v>
      </c>
      <c r="L278" s="3">
        <f>DATEDIF(HR_Data[[#This Row],[DOB]],HR_Data[[#This Row],[Date of Hire]],"Y")</f>
        <v>37</v>
      </c>
      <c r="M278" s="2">
        <v>41365</v>
      </c>
      <c r="N278" s="4">
        <f>IFERROR(DATEDIF(HR_Data[[#This Row],[Date of Hire]],HR_Data[[#This Row],[Date of Termination]],"Y"),"")</f>
        <v>0</v>
      </c>
      <c r="O278" t="s">
        <v>28</v>
      </c>
      <c r="P278" t="s">
        <v>27</v>
      </c>
      <c r="Q278" t="s">
        <v>4</v>
      </c>
      <c r="R278" t="s">
        <v>49</v>
      </c>
      <c r="S278" t="s">
        <v>37</v>
      </c>
      <c r="T278" t="s">
        <v>1</v>
      </c>
      <c r="U278" s="5">
        <v>4.5</v>
      </c>
      <c r="V278" s="4">
        <v>5</v>
      </c>
      <c r="W278" s="4">
        <v>0</v>
      </c>
      <c r="X278" s="2">
        <v>40954</v>
      </c>
      <c r="Y278" s="4">
        <v>0</v>
      </c>
      <c r="Z278" s="4">
        <v>11</v>
      </c>
    </row>
    <row r="279" spans="1:26" x14ac:dyDescent="0.4">
      <c r="A279" t="s">
        <v>109</v>
      </c>
      <c r="B279" s="4">
        <v>10146</v>
      </c>
      <c r="C279" s="1">
        <v>72202</v>
      </c>
      <c r="D279" t="s">
        <v>32</v>
      </c>
      <c r="E279" t="s">
        <v>10</v>
      </c>
      <c r="F279" s="4">
        <v>2129</v>
      </c>
      <c r="G279" s="2">
        <v>19503</v>
      </c>
      <c r="H279" t="s">
        <v>9</v>
      </c>
      <c r="I279" t="s">
        <v>47</v>
      </c>
      <c r="J279" t="s">
        <v>16</v>
      </c>
      <c r="K279" s="2">
        <v>41006</v>
      </c>
      <c r="L279" s="3">
        <f>DATEDIF(HR_Data[[#This Row],[DOB]],HR_Data[[#This Row],[Date of Hire]],"Y")</f>
        <v>58</v>
      </c>
      <c r="M279" s="2">
        <v>42924</v>
      </c>
      <c r="N279" s="4">
        <f>IFERROR(DATEDIF(HR_Data[[#This Row],[Date of Hire]],HR_Data[[#This Row],[Date of Termination]],"Y"),"")</f>
        <v>5</v>
      </c>
      <c r="O279" t="s">
        <v>28</v>
      </c>
      <c r="P279" t="s">
        <v>27</v>
      </c>
      <c r="Q279" t="s">
        <v>4</v>
      </c>
      <c r="R279" t="s">
        <v>61</v>
      </c>
      <c r="S279" t="s">
        <v>25</v>
      </c>
      <c r="T279" t="s">
        <v>1</v>
      </c>
      <c r="U279" s="5">
        <v>3.93</v>
      </c>
      <c r="V279" s="4">
        <v>3</v>
      </c>
      <c r="W279" s="4">
        <v>0</v>
      </c>
      <c r="X279" s="2">
        <v>42843</v>
      </c>
      <c r="Y279" s="4">
        <v>0</v>
      </c>
      <c r="Z279" s="4">
        <v>3</v>
      </c>
    </row>
    <row r="280" spans="1:26" x14ac:dyDescent="0.4">
      <c r="A280" t="s">
        <v>108</v>
      </c>
      <c r="B280" s="4">
        <v>10161</v>
      </c>
      <c r="C280" s="1">
        <v>58370</v>
      </c>
      <c r="D280" t="s">
        <v>79</v>
      </c>
      <c r="E280" t="s">
        <v>107</v>
      </c>
      <c r="F280" s="4">
        <v>97756</v>
      </c>
      <c r="G280" s="2">
        <v>23869</v>
      </c>
      <c r="H280" t="s">
        <v>9</v>
      </c>
      <c r="I280" t="s">
        <v>17</v>
      </c>
      <c r="J280" t="s">
        <v>40</v>
      </c>
      <c r="K280" s="2">
        <v>41007</v>
      </c>
      <c r="L280" s="3">
        <f>DATEDIF(HR_Data[[#This Row],[DOB]],HR_Data[[#This Row],[Date of Hire]],"Y")</f>
        <v>46</v>
      </c>
      <c r="N280" s="4" t="str">
        <f>IFERROR(DATEDIF(HR_Data[[#This Row],[Date of Hire]],HR_Data[[#This Row],[Date of Termination]],"Y"),"")</f>
        <v/>
      </c>
      <c r="O280" t="s">
        <v>6</v>
      </c>
      <c r="P280" t="s">
        <v>5</v>
      </c>
      <c r="Q280" t="s">
        <v>77</v>
      </c>
      <c r="R280" t="s">
        <v>97</v>
      </c>
      <c r="S280" t="s">
        <v>55</v>
      </c>
      <c r="T280" t="s">
        <v>1</v>
      </c>
      <c r="U280" s="5">
        <v>3.69</v>
      </c>
      <c r="V280" s="4">
        <v>3</v>
      </c>
      <c r="W280" s="4">
        <v>0</v>
      </c>
      <c r="X280" s="2">
        <v>43493</v>
      </c>
      <c r="Y280" s="4">
        <v>0</v>
      </c>
      <c r="Z280" s="4">
        <v>18</v>
      </c>
    </row>
    <row r="281" spans="1:26" x14ac:dyDescent="0.4">
      <c r="A281" t="s">
        <v>106</v>
      </c>
      <c r="B281" s="4">
        <v>10141</v>
      </c>
      <c r="C281" s="1">
        <v>48413</v>
      </c>
      <c r="D281" t="s">
        <v>11</v>
      </c>
      <c r="E281" t="s">
        <v>10</v>
      </c>
      <c r="F281" s="4">
        <v>2066</v>
      </c>
      <c r="G281" s="2">
        <v>23871</v>
      </c>
      <c r="H281" t="s">
        <v>9</v>
      </c>
      <c r="I281" t="s">
        <v>17</v>
      </c>
      <c r="J281" t="s">
        <v>16</v>
      </c>
      <c r="K281" s="2">
        <v>41008</v>
      </c>
      <c r="L281" s="3">
        <f>DATEDIF(HR_Data[[#This Row],[DOB]],HR_Data[[#This Row],[Date of Hire]],"Y")</f>
        <v>46</v>
      </c>
      <c r="M281" s="2">
        <v>42618</v>
      </c>
      <c r="N281" s="4">
        <f>IFERROR(DATEDIF(HR_Data[[#This Row],[Date of Hire]],HR_Data[[#This Row],[Date of Termination]],"Y"),"")</f>
        <v>4</v>
      </c>
      <c r="O281" t="s">
        <v>105</v>
      </c>
      <c r="P281" t="s">
        <v>27</v>
      </c>
      <c r="Q281" t="s">
        <v>4</v>
      </c>
      <c r="R281" t="s">
        <v>45</v>
      </c>
      <c r="S281" t="s">
        <v>55</v>
      </c>
      <c r="T281" t="s">
        <v>1</v>
      </c>
      <c r="U281" s="5">
        <v>3.98</v>
      </c>
      <c r="V281" s="4">
        <v>4</v>
      </c>
      <c r="W281" s="4">
        <v>0</v>
      </c>
      <c r="X281" s="2">
        <v>42403</v>
      </c>
      <c r="Y281" s="4">
        <v>0</v>
      </c>
      <c r="Z281" s="4">
        <v>1</v>
      </c>
    </row>
    <row r="282" spans="1:26" x14ac:dyDescent="0.4">
      <c r="A282" t="s">
        <v>104</v>
      </c>
      <c r="B282" s="4">
        <v>10268</v>
      </c>
      <c r="C282" s="1">
        <v>67176</v>
      </c>
      <c r="D282" t="s">
        <v>32</v>
      </c>
      <c r="E282" t="s">
        <v>10</v>
      </c>
      <c r="F282" s="4">
        <v>2472</v>
      </c>
      <c r="G282" s="2">
        <v>27653</v>
      </c>
      <c r="H282" t="s">
        <v>31</v>
      </c>
      <c r="I282" t="s">
        <v>8</v>
      </c>
      <c r="J282" t="s">
        <v>16</v>
      </c>
      <c r="K282" s="2">
        <v>41009</v>
      </c>
      <c r="L282" s="3">
        <f>DATEDIF(HR_Data[[#This Row],[DOB]],HR_Data[[#This Row],[Date of Hire]],"Y")</f>
        <v>36</v>
      </c>
      <c r="M282" s="2">
        <v>40420</v>
      </c>
      <c r="N282" s="4" t="str">
        <f>IFERROR(DATEDIF(HR_Data[[#This Row],[Date of Hire]],HR_Data[[#This Row],[Date of Termination]],"Y"),"")</f>
        <v/>
      </c>
      <c r="O282" t="s">
        <v>103</v>
      </c>
      <c r="P282" t="s">
        <v>27</v>
      </c>
      <c r="Q282" t="s">
        <v>4</v>
      </c>
      <c r="R282" t="s">
        <v>49</v>
      </c>
      <c r="S282" t="s">
        <v>102</v>
      </c>
      <c r="T282" t="s">
        <v>1</v>
      </c>
      <c r="U282" s="5">
        <v>4.0999999999999996</v>
      </c>
      <c r="V282" s="4">
        <v>4</v>
      </c>
      <c r="W282" s="4">
        <v>0</v>
      </c>
      <c r="X282" s="2">
        <v>40373</v>
      </c>
      <c r="Y282" s="4">
        <v>0</v>
      </c>
      <c r="Z282" s="4">
        <v>15</v>
      </c>
    </row>
    <row r="283" spans="1:26" x14ac:dyDescent="0.4">
      <c r="A283" t="s">
        <v>101</v>
      </c>
      <c r="B283" s="4">
        <v>10123</v>
      </c>
      <c r="C283" s="1">
        <v>56339</v>
      </c>
      <c r="D283" t="s">
        <v>11</v>
      </c>
      <c r="E283" t="s">
        <v>10</v>
      </c>
      <c r="F283" s="4">
        <v>2093</v>
      </c>
      <c r="G283" s="2">
        <v>24628</v>
      </c>
      <c r="H283" t="s">
        <v>9</v>
      </c>
      <c r="I283" t="s">
        <v>42</v>
      </c>
      <c r="J283" t="s">
        <v>40</v>
      </c>
      <c r="K283" s="2">
        <v>41010</v>
      </c>
      <c r="L283" s="3">
        <f>DATEDIF(HR_Data[[#This Row],[DOB]],HR_Data[[#This Row],[Date of Hire]],"Y")</f>
        <v>44</v>
      </c>
      <c r="N283" s="4" t="str">
        <f>IFERROR(DATEDIF(HR_Data[[#This Row],[Date of Hire]],HR_Data[[#This Row],[Date of Termination]],"Y"),"")</f>
        <v/>
      </c>
      <c r="O283" t="s">
        <v>6</v>
      </c>
      <c r="P283" t="s">
        <v>5</v>
      </c>
      <c r="Q283" t="s">
        <v>4</v>
      </c>
      <c r="R283" t="s">
        <v>26</v>
      </c>
      <c r="S283" t="s">
        <v>55</v>
      </c>
      <c r="T283" t="s">
        <v>1</v>
      </c>
      <c r="U283" s="5">
        <v>4.21</v>
      </c>
      <c r="V283" s="4">
        <v>5</v>
      </c>
      <c r="W283" s="4">
        <v>0</v>
      </c>
      <c r="X283" s="2">
        <v>43479</v>
      </c>
      <c r="Y283" s="4">
        <v>0</v>
      </c>
      <c r="Z283" s="4">
        <v>4</v>
      </c>
    </row>
    <row r="284" spans="1:26" x14ac:dyDescent="0.4">
      <c r="A284" t="s">
        <v>100</v>
      </c>
      <c r="B284" s="4">
        <v>10013</v>
      </c>
      <c r="C284" s="1">
        <v>64397</v>
      </c>
      <c r="D284" t="s">
        <v>79</v>
      </c>
      <c r="E284" t="s">
        <v>99</v>
      </c>
      <c r="F284" s="4">
        <v>58782</v>
      </c>
      <c r="G284" s="2">
        <v>24852</v>
      </c>
      <c r="H284" t="s">
        <v>31</v>
      </c>
      <c r="I284" t="s">
        <v>98</v>
      </c>
      <c r="J284" t="s">
        <v>16</v>
      </c>
      <c r="K284" s="2">
        <v>41011</v>
      </c>
      <c r="L284" s="3">
        <f>DATEDIF(HR_Data[[#This Row],[DOB]],HR_Data[[#This Row],[Date of Hire]],"Y")</f>
        <v>44</v>
      </c>
      <c r="N284" s="4" t="str">
        <f>IFERROR(DATEDIF(HR_Data[[#This Row],[Date of Hire]],HR_Data[[#This Row],[Date of Termination]],"Y"),"")</f>
        <v/>
      </c>
      <c r="O284" t="s">
        <v>6</v>
      </c>
      <c r="P284" t="s">
        <v>5</v>
      </c>
      <c r="Q284" t="s">
        <v>77</v>
      </c>
      <c r="R284" t="s">
        <v>97</v>
      </c>
      <c r="S284" t="s">
        <v>55</v>
      </c>
      <c r="T284" t="s">
        <v>20</v>
      </c>
      <c r="U284" s="5">
        <v>4.0999999999999996</v>
      </c>
      <c r="V284" s="4">
        <v>3</v>
      </c>
      <c r="W284" s="4">
        <v>0</v>
      </c>
      <c r="X284" s="2">
        <v>43556</v>
      </c>
      <c r="Y284" s="4">
        <v>0</v>
      </c>
      <c r="Z284" s="4">
        <v>6</v>
      </c>
    </row>
    <row r="285" spans="1:26" x14ac:dyDescent="0.4">
      <c r="A285" t="s">
        <v>96</v>
      </c>
      <c r="B285" s="4">
        <v>10287</v>
      </c>
      <c r="C285" s="1">
        <v>63025</v>
      </c>
      <c r="D285" t="s">
        <v>11</v>
      </c>
      <c r="E285" t="s">
        <v>10</v>
      </c>
      <c r="F285" s="4">
        <v>2021</v>
      </c>
      <c r="G285" s="2">
        <v>30452</v>
      </c>
      <c r="H285" t="s">
        <v>9</v>
      </c>
      <c r="I285" t="s">
        <v>17</v>
      </c>
      <c r="J285" t="s">
        <v>16</v>
      </c>
      <c r="K285" s="2">
        <v>41012</v>
      </c>
      <c r="L285" s="3">
        <f>DATEDIF(HR_Data[[#This Row],[DOB]],HR_Data[[#This Row],[Date of Hire]],"Y")</f>
        <v>28</v>
      </c>
      <c r="N285" s="4" t="str">
        <f>IFERROR(DATEDIF(HR_Data[[#This Row],[Date of Hire]],HR_Data[[#This Row],[Date of Termination]],"Y"),"")</f>
        <v/>
      </c>
      <c r="O285" t="s">
        <v>6</v>
      </c>
      <c r="P285" t="s">
        <v>5</v>
      </c>
      <c r="Q285" t="s">
        <v>4</v>
      </c>
      <c r="R285" t="s">
        <v>3</v>
      </c>
      <c r="S285" t="s">
        <v>2</v>
      </c>
      <c r="T285" t="s">
        <v>59</v>
      </c>
      <c r="U285" s="5">
        <v>2.44</v>
      </c>
      <c r="V285" s="4">
        <v>5</v>
      </c>
      <c r="W285" s="4">
        <v>0</v>
      </c>
      <c r="X285" s="2">
        <v>43771</v>
      </c>
      <c r="Y285" s="4">
        <v>4</v>
      </c>
      <c r="Z285" s="4">
        <v>18</v>
      </c>
    </row>
    <row r="286" spans="1:26" x14ac:dyDescent="0.4">
      <c r="A286" t="s">
        <v>95</v>
      </c>
      <c r="B286" s="4">
        <v>10044</v>
      </c>
      <c r="C286" s="1">
        <v>75281</v>
      </c>
      <c r="D286" t="s">
        <v>87</v>
      </c>
      <c r="E286" t="s">
        <v>10</v>
      </c>
      <c r="F286" s="4">
        <v>1420</v>
      </c>
      <c r="G286" s="2">
        <v>32268</v>
      </c>
      <c r="H286" t="s">
        <v>31</v>
      </c>
      <c r="I286" t="s">
        <v>47</v>
      </c>
      <c r="J286" t="s">
        <v>16</v>
      </c>
      <c r="K286" s="2">
        <v>41013</v>
      </c>
      <c r="L286" s="3">
        <f>DATEDIF(HR_Data[[#This Row],[DOB]],HR_Data[[#This Row],[Date of Hire]],"Y")</f>
        <v>23</v>
      </c>
      <c r="M286" s="2">
        <v>42412</v>
      </c>
      <c r="N286" s="4">
        <f>IFERROR(DATEDIF(HR_Data[[#This Row],[Date of Hire]],HR_Data[[#This Row],[Date of Termination]],"Y"),"")</f>
        <v>3</v>
      </c>
      <c r="O286" t="s">
        <v>92</v>
      </c>
      <c r="P286" t="s">
        <v>27</v>
      </c>
      <c r="Q286" t="s">
        <v>15</v>
      </c>
      <c r="R286" t="s">
        <v>52</v>
      </c>
      <c r="S286" t="s">
        <v>60</v>
      </c>
      <c r="T286" t="s">
        <v>1</v>
      </c>
      <c r="U286" s="5">
        <v>5</v>
      </c>
      <c r="V286" s="4">
        <v>3</v>
      </c>
      <c r="W286" s="4">
        <v>5</v>
      </c>
      <c r="X286" s="2">
        <v>42109</v>
      </c>
      <c r="Y286" s="4">
        <v>0</v>
      </c>
      <c r="Z286" s="4">
        <v>11</v>
      </c>
    </row>
    <row r="287" spans="1:26" x14ac:dyDescent="0.4">
      <c r="A287" t="s">
        <v>94</v>
      </c>
      <c r="B287" s="4">
        <v>10102</v>
      </c>
      <c r="C287" s="1">
        <v>100416</v>
      </c>
      <c r="D287" t="s">
        <v>93</v>
      </c>
      <c r="E287" t="s">
        <v>10</v>
      </c>
      <c r="F287" s="4">
        <v>2451</v>
      </c>
      <c r="G287" s="2">
        <v>30481</v>
      </c>
      <c r="H287" t="s">
        <v>31</v>
      </c>
      <c r="I287" t="s">
        <v>17</v>
      </c>
      <c r="J287" t="s">
        <v>40</v>
      </c>
      <c r="K287" s="2">
        <v>41014</v>
      </c>
      <c r="L287" s="3">
        <f>DATEDIF(HR_Data[[#This Row],[DOB]],HR_Data[[#This Row],[Date of Hire]],"Y")</f>
        <v>28</v>
      </c>
      <c r="M287" s="2">
        <v>43205</v>
      </c>
      <c r="N287" s="4">
        <f>IFERROR(DATEDIF(HR_Data[[#This Row],[Date of Hire]],HR_Data[[#This Row],[Date of Termination]],"Y"),"")</f>
        <v>6</v>
      </c>
      <c r="O287" t="s">
        <v>92</v>
      </c>
      <c r="P287" t="s">
        <v>27</v>
      </c>
      <c r="Q287" t="s">
        <v>91</v>
      </c>
      <c r="R287" t="s">
        <v>90</v>
      </c>
      <c r="S287" t="s">
        <v>37</v>
      </c>
      <c r="T287" t="s">
        <v>1</v>
      </c>
      <c r="U287" s="5">
        <v>4.5999999999999996</v>
      </c>
      <c r="V287" s="4">
        <v>3</v>
      </c>
      <c r="W287" s="4">
        <v>4</v>
      </c>
      <c r="X287" s="2">
        <v>43071</v>
      </c>
      <c r="Y287" s="4">
        <v>0</v>
      </c>
      <c r="Z287" s="4">
        <v>9</v>
      </c>
    </row>
    <row r="288" spans="1:26" x14ac:dyDescent="0.4">
      <c r="A288" t="s">
        <v>89</v>
      </c>
      <c r="B288" s="4">
        <v>10270</v>
      </c>
      <c r="C288" s="1">
        <v>74813</v>
      </c>
      <c r="D288" t="s">
        <v>32</v>
      </c>
      <c r="E288" t="s">
        <v>10</v>
      </c>
      <c r="F288" s="4">
        <v>1778</v>
      </c>
      <c r="G288" s="2">
        <v>31121</v>
      </c>
      <c r="H288" t="s">
        <v>9</v>
      </c>
      <c r="I288" t="s">
        <v>17</v>
      </c>
      <c r="J288" t="s">
        <v>16</v>
      </c>
      <c r="K288" s="2">
        <v>41015</v>
      </c>
      <c r="L288" s="3">
        <f>DATEDIF(HR_Data[[#This Row],[DOB]],HR_Data[[#This Row],[Date of Hire]],"Y")</f>
        <v>27</v>
      </c>
      <c r="M288" s="2">
        <v>41822</v>
      </c>
      <c r="N288" s="4">
        <f>IFERROR(DATEDIF(HR_Data[[#This Row],[Date of Hire]],HR_Data[[#This Row],[Date of Termination]],"Y"),"")</f>
        <v>2</v>
      </c>
      <c r="O288" t="s">
        <v>46</v>
      </c>
      <c r="P288" t="s">
        <v>27</v>
      </c>
      <c r="Q288" t="s">
        <v>4</v>
      </c>
      <c r="R288" t="s">
        <v>45</v>
      </c>
      <c r="S288" t="s">
        <v>2</v>
      </c>
      <c r="T288" t="s">
        <v>1</v>
      </c>
      <c r="U288" s="5">
        <v>4.4000000000000004</v>
      </c>
      <c r="V288" s="4">
        <v>3</v>
      </c>
      <c r="W288" s="4">
        <v>0</v>
      </c>
      <c r="X288" s="2">
        <v>41760</v>
      </c>
      <c r="Y288" s="4">
        <v>0</v>
      </c>
      <c r="Z288" s="4">
        <v>5</v>
      </c>
    </row>
    <row r="289" spans="1:26" x14ac:dyDescent="0.4">
      <c r="A289" t="s">
        <v>88</v>
      </c>
      <c r="B289" s="4">
        <v>10045</v>
      </c>
      <c r="C289" s="1">
        <v>76029</v>
      </c>
      <c r="D289" t="s">
        <v>87</v>
      </c>
      <c r="E289" t="s">
        <v>10</v>
      </c>
      <c r="F289" s="4">
        <v>2343</v>
      </c>
      <c r="G289" s="2">
        <v>25293</v>
      </c>
      <c r="H289" t="s">
        <v>31</v>
      </c>
      <c r="I289" t="s">
        <v>47</v>
      </c>
      <c r="J289" t="s">
        <v>16</v>
      </c>
      <c r="K289" s="2">
        <v>41016</v>
      </c>
      <c r="L289" s="3">
        <f>DATEDIF(HR_Data[[#This Row],[DOB]],HR_Data[[#This Row],[Date of Hire]],"Y")</f>
        <v>43</v>
      </c>
      <c r="N289" s="4" t="str">
        <f>IFERROR(DATEDIF(HR_Data[[#This Row],[Date of Hire]],HR_Data[[#This Row],[Date of Termination]],"Y"),"")</f>
        <v/>
      </c>
      <c r="O289" t="s">
        <v>6</v>
      </c>
      <c r="P289" t="s">
        <v>5</v>
      </c>
      <c r="Q289" t="s">
        <v>15</v>
      </c>
      <c r="R289" t="s">
        <v>52</v>
      </c>
      <c r="S289" t="s">
        <v>13</v>
      </c>
      <c r="T289" t="s">
        <v>1</v>
      </c>
      <c r="U289" s="5">
        <v>5</v>
      </c>
      <c r="V289" s="4">
        <v>4</v>
      </c>
      <c r="W289" s="4">
        <v>7</v>
      </c>
      <c r="X289" s="2">
        <v>43479</v>
      </c>
      <c r="Y289" s="4">
        <v>0</v>
      </c>
      <c r="Z289" s="4">
        <v>8</v>
      </c>
    </row>
    <row r="290" spans="1:26" x14ac:dyDescent="0.4">
      <c r="A290" t="s">
        <v>86</v>
      </c>
      <c r="B290" s="4">
        <v>10205</v>
      </c>
      <c r="C290" s="1">
        <v>57859</v>
      </c>
      <c r="D290" t="s">
        <v>79</v>
      </c>
      <c r="E290" t="s">
        <v>85</v>
      </c>
      <c r="F290" s="4">
        <v>85006</v>
      </c>
      <c r="G290" s="2">
        <v>33381</v>
      </c>
      <c r="H290" t="s">
        <v>9</v>
      </c>
      <c r="I290" t="s">
        <v>47</v>
      </c>
      <c r="J290" t="s">
        <v>84</v>
      </c>
      <c r="K290" s="2">
        <v>41017</v>
      </c>
      <c r="L290" s="3">
        <f>DATEDIF(HR_Data[[#This Row],[DOB]],HR_Data[[#This Row],[Date of Hire]],"Y")</f>
        <v>20</v>
      </c>
      <c r="N290" s="4" t="str">
        <f>IFERROR(DATEDIF(HR_Data[[#This Row],[Date of Hire]],HR_Data[[#This Row],[Date of Termination]],"Y"),"")</f>
        <v/>
      </c>
      <c r="O290" t="s">
        <v>6</v>
      </c>
      <c r="P290" t="s">
        <v>5</v>
      </c>
      <c r="Q290" t="s">
        <v>77</v>
      </c>
      <c r="R290" t="s">
        <v>76</v>
      </c>
      <c r="S290" t="s">
        <v>55</v>
      </c>
      <c r="T290" t="s">
        <v>1</v>
      </c>
      <c r="U290" s="5">
        <v>2.81</v>
      </c>
      <c r="V290" s="4">
        <v>3</v>
      </c>
      <c r="W290" s="4">
        <v>0</v>
      </c>
      <c r="X290" s="2">
        <v>43482</v>
      </c>
      <c r="Y290" s="4">
        <v>0</v>
      </c>
      <c r="Z290" s="4">
        <v>16</v>
      </c>
    </row>
    <row r="291" spans="1:26" x14ac:dyDescent="0.4">
      <c r="A291" t="s">
        <v>83</v>
      </c>
      <c r="B291" s="4">
        <v>10014</v>
      </c>
      <c r="C291" s="1">
        <v>58523</v>
      </c>
      <c r="D291" t="s">
        <v>11</v>
      </c>
      <c r="E291" t="s">
        <v>10</v>
      </c>
      <c r="F291" s="4">
        <v>2171</v>
      </c>
      <c r="G291" s="2">
        <v>31808</v>
      </c>
      <c r="H291" t="s">
        <v>31</v>
      </c>
      <c r="I291" t="s">
        <v>42</v>
      </c>
      <c r="J291" t="s">
        <v>16</v>
      </c>
      <c r="K291" s="2">
        <v>41018</v>
      </c>
      <c r="L291" s="3">
        <f>DATEDIF(HR_Data[[#This Row],[DOB]],HR_Data[[#This Row],[Date of Hire]],"Y")</f>
        <v>25</v>
      </c>
      <c r="M291" s="2">
        <v>42405</v>
      </c>
      <c r="N291" s="4">
        <f>IFERROR(DATEDIF(HR_Data[[#This Row],[Date of Hire]],HR_Data[[#This Row],[Date of Termination]],"Y"),"")</f>
        <v>3</v>
      </c>
      <c r="O291" t="s">
        <v>82</v>
      </c>
      <c r="P291" t="s">
        <v>27</v>
      </c>
      <c r="Q291" t="s">
        <v>4</v>
      </c>
      <c r="R291" t="s">
        <v>30</v>
      </c>
      <c r="S291" t="s">
        <v>2</v>
      </c>
      <c r="T291" t="s">
        <v>20</v>
      </c>
      <c r="U291" s="5">
        <v>4.5</v>
      </c>
      <c r="V291" s="4">
        <v>5</v>
      </c>
      <c r="W291" s="4">
        <v>0</v>
      </c>
      <c r="X291" s="2">
        <v>42371</v>
      </c>
      <c r="Y291" s="4">
        <v>0</v>
      </c>
      <c r="Z291" s="4">
        <v>15</v>
      </c>
    </row>
    <row r="292" spans="1:26" x14ac:dyDescent="0.4">
      <c r="A292" t="s">
        <v>81</v>
      </c>
      <c r="B292" s="4">
        <v>10144</v>
      </c>
      <c r="C292" s="1">
        <v>88976</v>
      </c>
      <c r="D292" t="s">
        <v>64</v>
      </c>
      <c r="E292" t="s">
        <v>10</v>
      </c>
      <c r="F292" s="4">
        <v>2169</v>
      </c>
      <c r="G292" s="2">
        <v>25121</v>
      </c>
      <c r="H292" t="s">
        <v>31</v>
      </c>
      <c r="I292" t="s">
        <v>42</v>
      </c>
      <c r="J292" t="s">
        <v>16</v>
      </c>
      <c r="K292" s="2">
        <v>41019</v>
      </c>
      <c r="L292" s="3">
        <f>DATEDIF(HR_Data[[#This Row],[DOB]],HR_Data[[#This Row],[Date of Hire]],"Y")</f>
        <v>43</v>
      </c>
      <c r="N292" s="4" t="str">
        <f>IFERROR(DATEDIF(HR_Data[[#This Row],[Date of Hire]],HR_Data[[#This Row],[Date of Termination]],"Y"),"")</f>
        <v/>
      </c>
      <c r="O292" t="s">
        <v>6</v>
      </c>
      <c r="P292" t="s">
        <v>5</v>
      </c>
      <c r="Q292" t="s">
        <v>4</v>
      </c>
      <c r="R292" t="s">
        <v>21</v>
      </c>
      <c r="S292" t="s">
        <v>13</v>
      </c>
      <c r="T292" t="s">
        <v>1</v>
      </c>
      <c r="U292" s="5">
        <v>3.93</v>
      </c>
      <c r="V292" s="4">
        <v>3</v>
      </c>
      <c r="W292" s="4">
        <v>0</v>
      </c>
      <c r="X292" s="2">
        <v>43523</v>
      </c>
      <c r="Y292" s="4">
        <v>0</v>
      </c>
      <c r="Z292" s="4">
        <v>19</v>
      </c>
    </row>
    <row r="293" spans="1:26" x14ac:dyDescent="0.4">
      <c r="A293" t="s">
        <v>80</v>
      </c>
      <c r="B293" s="4">
        <v>10253</v>
      </c>
      <c r="C293" s="1">
        <v>55875</v>
      </c>
      <c r="D293" t="s">
        <v>79</v>
      </c>
      <c r="E293" t="s">
        <v>78</v>
      </c>
      <c r="F293" s="4">
        <v>4063</v>
      </c>
      <c r="G293" s="2">
        <v>32700</v>
      </c>
      <c r="H293" t="s">
        <v>31</v>
      </c>
      <c r="I293" t="s">
        <v>17</v>
      </c>
      <c r="J293" t="s">
        <v>7</v>
      </c>
      <c r="K293" s="2">
        <v>41020</v>
      </c>
      <c r="L293" s="3">
        <f>DATEDIF(HR_Data[[#This Row],[DOB]],HR_Data[[#This Row],[Date of Hire]],"Y")</f>
        <v>22</v>
      </c>
      <c r="N293" s="4" t="str">
        <f>IFERROR(DATEDIF(HR_Data[[#This Row],[Date of Hire]],HR_Data[[#This Row],[Date of Termination]],"Y"),"")</f>
        <v/>
      </c>
      <c r="O293" t="s">
        <v>6</v>
      </c>
      <c r="P293" t="s">
        <v>5</v>
      </c>
      <c r="Q293" t="s">
        <v>77</v>
      </c>
      <c r="R293" t="s">
        <v>76</v>
      </c>
      <c r="S293" t="s">
        <v>44</v>
      </c>
      <c r="T293" t="s">
        <v>1</v>
      </c>
      <c r="U293" s="5">
        <v>4.5</v>
      </c>
      <c r="V293" s="4">
        <v>4</v>
      </c>
      <c r="W293" s="4">
        <v>0</v>
      </c>
      <c r="X293" s="2">
        <v>43483</v>
      </c>
      <c r="Y293" s="4">
        <v>0</v>
      </c>
      <c r="Z293" s="4">
        <v>11</v>
      </c>
    </row>
    <row r="294" spans="1:26" x14ac:dyDescent="0.4">
      <c r="A294" t="s">
        <v>75</v>
      </c>
      <c r="B294" s="4">
        <v>10118</v>
      </c>
      <c r="C294" s="1">
        <v>113999</v>
      </c>
      <c r="D294" t="s">
        <v>74</v>
      </c>
      <c r="E294" t="s">
        <v>10</v>
      </c>
      <c r="F294" s="4">
        <v>1960</v>
      </c>
      <c r="G294" s="2">
        <v>31631</v>
      </c>
      <c r="H294" t="s">
        <v>31</v>
      </c>
      <c r="I294" t="s">
        <v>47</v>
      </c>
      <c r="J294" t="s">
        <v>40</v>
      </c>
      <c r="K294" s="2">
        <v>41021</v>
      </c>
      <c r="L294" s="3">
        <f>DATEDIF(HR_Data[[#This Row],[DOB]],HR_Data[[#This Row],[Date of Hire]],"Y")</f>
        <v>25</v>
      </c>
      <c r="M294" s="2">
        <v>42788</v>
      </c>
      <c r="N294" s="4">
        <f>IFERROR(DATEDIF(HR_Data[[#This Row],[Date of Hire]],HR_Data[[#This Row],[Date of Termination]],"Y"),"")</f>
        <v>4</v>
      </c>
      <c r="O294" t="s">
        <v>73</v>
      </c>
      <c r="P294" t="s">
        <v>70</v>
      </c>
      <c r="Q294" t="s">
        <v>15</v>
      </c>
      <c r="R294" t="s">
        <v>14</v>
      </c>
      <c r="S294" t="s">
        <v>13</v>
      </c>
      <c r="T294" t="s">
        <v>1</v>
      </c>
      <c r="U294" s="5">
        <v>4.33</v>
      </c>
      <c r="V294" s="4">
        <v>3</v>
      </c>
      <c r="W294" s="4">
        <v>7</v>
      </c>
      <c r="X294" s="2">
        <v>42781</v>
      </c>
      <c r="Y294" s="4">
        <v>0</v>
      </c>
      <c r="Z294" s="4">
        <v>9</v>
      </c>
    </row>
    <row r="295" spans="1:26" x14ac:dyDescent="0.4">
      <c r="A295" t="s">
        <v>72</v>
      </c>
      <c r="B295" s="4">
        <v>10022</v>
      </c>
      <c r="C295" s="1">
        <v>49773</v>
      </c>
      <c r="D295" t="s">
        <v>11</v>
      </c>
      <c r="E295" t="s">
        <v>10</v>
      </c>
      <c r="F295" s="4">
        <v>2747</v>
      </c>
      <c r="G295" s="2">
        <v>31566</v>
      </c>
      <c r="H295" t="s">
        <v>9</v>
      </c>
      <c r="I295" t="s">
        <v>47</v>
      </c>
      <c r="J295" t="s">
        <v>16</v>
      </c>
      <c r="K295" s="2">
        <v>41022</v>
      </c>
      <c r="L295" s="3">
        <f>DATEDIF(HR_Data[[#This Row],[DOB]],HR_Data[[#This Row],[Date of Hire]],"Y")</f>
        <v>25</v>
      </c>
      <c r="M295" s="2">
        <v>42408</v>
      </c>
      <c r="N295" s="4">
        <f>IFERROR(DATEDIF(HR_Data[[#This Row],[Date of Hire]],HR_Data[[#This Row],[Date of Termination]],"Y"),"")</f>
        <v>3</v>
      </c>
      <c r="O295" t="s">
        <v>71</v>
      </c>
      <c r="P295" t="s">
        <v>70</v>
      </c>
      <c r="Q295" t="s">
        <v>4</v>
      </c>
      <c r="R295" t="s">
        <v>69</v>
      </c>
      <c r="S295" t="s">
        <v>25</v>
      </c>
      <c r="T295" t="s">
        <v>20</v>
      </c>
      <c r="U295" s="5">
        <v>4.3</v>
      </c>
      <c r="V295" s="4">
        <v>5</v>
      </c>
      <c r="W295" s="4">
        <v>0</v>
      </c>
      <c r="X295" s="2">
        <v>42006</v>
      </c>
      <c r="Y295" s="4">
        <v>0</v>
      </c>
      <c r="Z295" s="4">
        <v>18</v>
      </c>
    </row>
    <row r="296" spans="1:26" x14ac:dyDescent="0.4">
      <c r="A296" t="s">
        <v>68</v>
      </c>
      <c r="B296" s="4">
        <v>10183</v>
      </c>
      <c r="C296" s="1">
        <v>62068</v>
      </c>
      <c r="D296" t="s">
        <v>11</v>
      </c>
      <c r="E296" t="s">
        <v>10</v>
      </c>
      <c r="F296" s="4">
        <v>2124</v>
      </c>
      <c r="G296" s="2">
        <v>31143</v>
      </c>
      <c r="H296" t="s">
        <v>9</v>
      </c>
      <c r="I296" t="s">
        <v>17</v>
      </c>
      <c r="J296" t="s">
        <v>16</v>
      </c>
      <c r="K296" s="2">
        <v>41023</v>
      </c>
      <c r="L296" s="3">
        <f>DATEDIF(HR_Data[[#This Row],[DOB]],HR_Data[[#This Row],[Date of Hire]],"Y")</f>
        <v>27</v>
      </c>
      <c r="N296" s="4" t="str">
        <f>IFERROR(DATEDIF(HR_Data[[#This Row],[Date of Hire]],HR_Data[[#This Row],[Date of Termination]],"Y"),"")</f>
        <v/>
      </c>
      <c r="O296" t="s">
        <v>6</v>
      </c>
      <c r="P296" t="s">
        <v>5</v>
      </c>
      <c r="Q296" t="s">
        <v>4</v>
      </c>
      <c r="R296" t="s">
        <v>67</v>
      </c>
      <c r="S296" t="s">
        <v>2</v>
      </c>
      <c r="T296" t="s">
        <v>1</v>
      </c>
      <c r="U296" s="5">
        <v>3.21</v>
      </c>
      <c r="V296" s="4">
        <v>3</v>
      </c>
      <c r="W296" s="4">
        <v>0</v>
      </c>
      <c r="X296" s="2">
        <v>43494</v>
      </c>
      <c r="Y296" s="4">
        <v>0</v>
      </c>
      <c r="Z296" s="4">
        <v>7</v>
      </c>
    </row>
    <row r="297" spans="1:26" x14ac:dyDescent="0.4">
      <c r="A297" t="s">
        <v>66</v>
      </c>
      <c r="B297" s="4">
        <v>10190</v>
      </c>
      <c r="C297" s="1">
        <v>66541</v>
      </c>
      <c r="D297" t="s">
        <v>32</v>
      </c>
      <c r="E297" t="s">
        <v>10</v>
      </c>
      <c r="F297" s="4">
        <v>2459</v>
      </c>
      <c r="G297" s="2">
        <v>27800</v>
      </c>
      <c r="H297" t="s">
        <v>31</v>
      </c>
      <c r="I297" t="s">
        <v>17</v>
      </c>
      <c r="J297" t="s">
        <v>40</v>
      </c>
      <c r="K297" s="2">
        <v>41024</v>
      </c>
      <c r="L297" s="3">
        <f>DATEDIF(HR_Data[[#This Row],[DOB]],HR_Data[[#This Row],[Date of Hire]],"Y")</f>
        <v>36</v>
      </c>
      <c r="N297" s="4" t="str">
        <f>IFERROR(DATEDIF(HR_Data[[#This Row],[Date of Hire]],HR_Data[[#This Row],[Date of Termination]],"Y"),"")</f>
        <v/>
      </c>
      <c r="O297" t="s">
        <v>6</v>
      </c>
      <c r="P297" t="s">
        <v>5</v>
      </c>
      <c r="Q297" t="s">
        <v>4</v>
      </c>
      <c r="R297" t="s">
        <v>38</v>
      </c>
      <c r="S297" t="s">
        <v>13</v>
      </c>
      <c r="T297" t="s">
        <v>1</v>
      </c>
      <c r="U297" s="5">
        <v>3.11</v>
      </c>
      <c r="V297" s="4">
        <v>5</v>
      </c>
      <c r="W297" s="4">
        <v>0</v>
      </c>
      <c r="X297" s="2">
        <v>43801</v>
      </c>
      <c r="Y297" s="4">
        <v>0</v>
      </c>
      <c r="Z297" s="4">
        <v>4</v>
      </c>
    </row>
    <row r="298" spans="1:26" x14ac:dyDescent="0.4">
      <c r="A298" t="s">
        <v>65</v>
      </c>
      <c r="B298" s="4">
        <v>10274</v>
      </c>
      <c r="C298" s="1">
        <v>80512</v>
      </c>
      <c r="D298" t="s">
        <v>64</v>
      </c>
      <c r="E298" t="s">
        <v>10</v>
      </c>
      <c r="F298" s="4">
        <v>2478</v>
      </c>
      <c r="G298" s="2">
        <v>20407</v>
      </c>
      <c r="H298" t="s">
        <v>9</v>
      </c>
      <c r="I298" t="s">
        <v>47</v>
      </c>
      <c r="J298" t="s">
        <v>40</v>
      </c>
      <c r="K298" s="2">
        <v>41025</v>
      </c>
      <c r="L298" s="3">
        <f>DATEDIF(HR_Data[[#This Row],[DOB]],HR_Data[[#This Row],[Date of Hire]],"Y")</f>
        <v>56</v>
      </c>
      <c r="M298" s="2">
        <v>40910</v>
      </c>
      <c r="N298" s="4" t="str">
        <f>IFERROR(DATEDIF(HR_Data[[#This Row],[Date of Hire]],HR_Data[[#This Row],[Date of Termination]],"Y"),"")</f>
        <v/>
      </c>
      <c r="O298" t="s">
        <v>28</v>
      </c>
      <c r="P298" t="s">
        <v>27</v>
      </c>
      <c r="Q298" t="s">
        <v>4</v>
      </c>
      <c r="R298" t="s">
        <v>21</v>
      </c>
      <c r="S298" t="s">
        <v>37</v>
      </c>
      <c r="T298" t="s">
        <v>1</v>
      </c>
      <c r="U298" s="5">
        <v>4.5</v>
      </c>
      <c r="V298" s="4">
        <v>3</v>
      </c>
      <c r="W298" s="4">
        <v>0</v>
      </c>
      <c r="X298" s="2">
        <v>40940</v>
      </c>
      <c r="Y298" s="4">
        <v>0</v>
      </c>
      <c r="Z298" s="4">
        <v>5</v>
      </c>
    </row>
    <row r="299" spans="1:26" x14ac:dyDescent="0.4">
      <c r="A299" t="s">
        <v>63</v>
      </c>
      <c r="B299" s="4">
        <v>10293</v>
      </c>
      <c r="C299" s="1">
        <v>50274</v>
      </c>
      <c r="D299" t="s">
        <v>11</v>
      </c>
      <c r="E299" t="s">
        <v>10</v>
      </c>
      <c r="F299" s="4">
        <v>1887</v>
      </c>
      <c r="G299" s="2">
        <v>29435</v>
      </c>
      <c r="H299" t="s">
        <v>9</v>
      </c>
      <c r="I299" t="s">
        <v>17</v>
      </c>
      <c r="J299" t="s">
        <v>16</v>
      </c>
      <c r="K299" s="2">
        <v>41026</v>
      </c>
      <c r="L299" s="3">
        <f>DATEDIF(HR_Data[[#This Row],[DOB]],HR_Data[[#This Row],[Date of Hire]],"Y")</f>
        <v>31</v>
      </c>
      <c r="M299" s="2">
        <v>42248</v>
      </c>
      <c r="N299" s="4">
        <f>IFERROR(DATEDIF(HR_Data[[#This Row],[Date of Hire]],HR_Data[[#This Row],[Date of Termination]],"Y"),"")</f>
        <v>3</v>
      </c>
      <c r="O299" t="s">
        <v>62</v>
      </c>
      <c r="P299" t="s">
        <v>27</v>
      </c>
      <c r="Q299" t="s">
        <v>4</v>
      </c>
      <c r="R299" t="s">
        <v>61</v>
      </c>
      <c r="S299" t="s">
        <v>60</v>
      </c>
      <c r="T299" t="s">
        <v>59</v>
      </c>
      <c r="U299" s="5">
        <v>2.5</v>
      </c>
      <c r="V299" s="4">
        <v>3</v>
      </c>
      <c r="W299" s="4">
        <v>0</v>
      </c>
      <c r="X299" s="2">
        <v>41768</v>
      </c>
      <c r="Y299" s="4">
        <v>6</v>
      </c>
      <c r="Z299" s="4">
        <v>13</v>
      </c>
    </row>
    <row r="300" spans="1:26" x14ac:dyDescent="0.4">
      <c r="A300" t="s">
        <v>58</v>
      </c>
      <c r="B300" s="4">
        <v>10172</v>
      </c>
      <c r="C300" s="1">
        <v>84903</v>
      </c>
      <c r="D300" t="s">
        <v>57</v>
      </c>
      <c r="E300" t="s">
        <v>10</v>
      </c>
      <c r="F300" s="4">
        <v>1887</v>
      </c>
      <c r="G300" s="2">
        <v>29775</v>
      </c>
      <c r="H300" t="s">
        <v>31</v>
      </c>
      <c r="I300" t="s">
        <v>17</v>
      </c>
      <c r="J300" t="s">
        <v>7</v>
      </c>
      <c r="K300" s="2">
        <v>41027</v>
      </c>
      <c r="L300" s="3">
        <f>DATEDIF(HR_Data[[#This Row],[DOB]],HR_Data[[#This Row],[Date of Hire]],"Y")</f>
        <v>30</v>
      </c>
      <c r="N300" s="4" t="str">
        <f>IFERROR(DATEDIF(HR_Data[[#This Row],[Date of Hire]],HR_Data[[#This Row],[Date of Termination]],"Y"),"")</f>
        <v/>
      </c>
      <c r="O300" t="s">
        <v>6</v>
      </c>
      <c r="P300" t="s">
        <v>5</v>
      </c>
      <c r="Q300" t="s">
        <v>15</v>
      </c>
      <c r="R300" t="s">
        <v>56</v>
      </c>
      <c r="S300" t="s">
        <v>55</v>
      </c>
      <c r="T300" t="s">
        <v>1</v>
      </c>
      <c r="U300" s="5">
        <v>3.42</v>
      </c>
      <c r="V300" s="4">
        <v>4</v>
      </c>
      <c r="W300" s="4">
        <v>7</v>
      </c>
      <c r="X300" s="2">
        <v>43556</v>
      </c>
      <c r="Y300" s="4">
        <v>0</v>
      </c>
      <c r="Z300" s="4">
        <v>17</v>
      </c>
    </row>
    <row r="301" spans="1:26" x14ac:dyDescent="0.4">
      <c r="A301" t="s">
        <v>54</v>
      </c>
      <c r="B301" s="4">
        <v>10127</v>
      </c>
      <c r="C301" s="1">
        <v>107226</v>
      </c>
      <c r="D301" t="s">
        <v>53</v>
      </c>
      <c r="E301" t="s">
        <v>10</v>
      </c>
      <c r="F301" s="4">
        <v>2453</v>
      </c>
      <c r="G301" s="2">
        <v>28612</v>
      </c>
      <c r="H301" t="s">
        <v>9</v>
      </c>
      <c r="I301" t="s">
        <v>8</v>
      </c>
      <c r="J301" t="s">
        <v>7</v>
      </c>
      <c r="K301" s="2">
        <v>41028</v>
      </c>
      <c r="L301" s="3">
        <f>DATEDIF(HR_Data[[#This Row],[DOB]],HR_Data[[#This Row],[Date of Hire]],"Y")</f>
        <v>33</v>
      </c>
      <c r="N301" s="4" t="str">
        <f>IFERROR(DATEDIF(HR_Data[[#This Row],[Date of Hire]],HR_Data[[#This Row],[Date of Termination]],"Y"),"")</f>
        <v/>
      </c>
      <c r="O301" t="s">
        <v>6</v>
      </c>
      <c r="P301" t="s">
        <v>5</v>
      </c>
      <c r="Q301" t="s">
        <v>15</v>
      </c>
      <c r="R301" t="s">
        <v>52</v>
      </c>
      <c r="S301" t="s">
        <v>13</v>
      </c>
      <c r="T301" t="s">
        <v>1</v>
      </c>
      <c r="U301" s="5">
        <v>4.2</v>
      </c>
      <c r="V301" s="4">
        <v>4</v>
      </c>
      <c r="W301" s="4">
        <v>8</v>
      </c>
      <c r="X301" s="2">
        <v>43587</v>
      </c>
      <c r="Y301" s="4">
        <v>0</v>
      </c>
      <c r="Z301" s="4">
        <v>7</v>
      </c>
    </row>
    <row r="302" spans="1:26" x14ac:dyDescent="0.4">
      <c r="A302" t="s">
        <v>51</v>
      </c>
      <c r="B302" s="4">
        <v>10072</v>
      </c>
      <c r="C302" s="1">
        <v>58371</v>
      </c>
      <c r="D302" t="s">
        <v>11</v>
      </c>
      <c r="E302" t="s">
        <v>10</v>
      </c>
      <c r="F302" s="4">
        <v>2030</v>
      </c>
      <c r="G302" s="2">
        <v>31921</v>
      </c>
      <c r="H302" t="s">
        <v>31</v>
      </c>
      <c r="I302" t="s">
        <v>17</v>
      </c>
      <c r="J302" t="s">
        <v>16</v>
      </c>
      <c r="K302" s="2">
        <v>41029</v>
      </c>
      <c r="L302" s="3">
        <f>DATEDIF(HR_Data[[#This Row],[DOB]],HR_Data[[#This Row],[Date of Hire]],"Y")</f>
        <v>24</v>
      </c>
      <c r="M302" s="2">
        <v>41774</v>
      </c>
      <c r="N302" s="4">
        <f>IFERROR(DATEDIF(HR_Data[[#This Row],[Date of Hire]],HR_Data[[#This Row],[Date of Termination]],"Y"),"")</f>
        <v>2</v>
      </c>
      <c r="O302" t="s">
        <v>50</v>
      </c>
      <c r="P302" t="s">
        <v>27</v>
      </c>
      <c r="Q302" t="s">
        <v>4</v>
      </c>
      <c r="R302" t="s">
        <v>49</v>
      </c>
      <c r="S302" t="s">
        <v>2</v>
      </c>
      <c r="T302" t="s">
        <v>1</v>
      </c>
      <c r="U302" s="5">
        <v>5</v>
      </c>
      <c r="V302" s="4">
        <v>5</v>
      </c>
      <c r="W302" s="4">
        <v>0</v>
      </c>
      <c r="X302" s="2">
        <v>41774</v>
      </c>
      <c r="Y302" s="4">
        <v>0</v>
      </c>
      <c r="Z302" s="4">
        <v>11</v>
      </c>
    </row>
    <row r="303" spans="1:26" x14ac:dyDescent="0.4">
      <c r="A303" t="s">
        <v>48</v>
      </c>
      <c r="B303" s="4">
        <v>10048</v>
      </c>
      <c r="C303" s="1">
        <v>55140</v>
      </c>
      <c r="D303" t="s">
        <v>11</v>
      </c>
      <c r="E303" t="s">
        <v>10</v>
      </c>
      <c r="F303" s="4">
        <v>2324</v>
      </c>
      <c r="G303" s="2">
        <v>23994</v>
      </c>
      <c r="H303" t="s">
        <v>31</v>
      </c>
      <c r="I303" t="s">
        <v>47</v>
      </c>
      <c r="J303" t="s">
        <v>16</v>
      </c>
      <c r="K303" s="2">
        <v>41030</v>
      </c>
      <c r="L303" s="3">
        <f>DATEDIF(HR_Data[[#This Row],[DOB]],HR_Data[[#This Row],[Date of Hire]],"Y")</f>
        <v>46</v>
      </c>
      <c r="M303" s="2">
        <v>42254</v>
      </c>
      <c r="N303" s="4">
        <f>IFERROR(DATEDIF(HR_Data[[#This Row],[Date of Hire]],HR_Data[[#This Row],[Date of Termination]],"Y"),"")</f>
        <v>3</v>
      </c>
      <c r="O303" t="s">
        <v>46</v>
      </c>
      <c r="P303" t="s">
        <v>27</v>
      </c>
      <c r="Q303" t="s">
        <v>4</v>
      </c>
      <c r="R303" t="s">
        <v>45</v>
      </c>
      <c r="S303" t="s">
        <v>44</v>
      </c>
      <c r="T303" t="s">
        <v>1</v>
      </c>
      <c r="U303" s="5">
        <v>5</v>
      </c>
      <c r="V303" s="4">
        <v>3</v>
      </c>
      <c r="W303" s="4">
        <v>0</v>
      </c>
      <c r="X303" s="2">
        <v>42050</v>
      </c>
      <c r="Y303" s="4">
        <v>0</v>
      </c>
      <c r="Z303" s="4">
        <v>7</v>
      </c>
    </row>
    <row r="304" spans="1:26" x14ac:dyDescent="0.4">
      <c r="A304" t="s">
        <v>43</v>
      </c>
      <c r="B304" s="4">
        <v>10204</v>
      </c>
      <c r="C304" s="1">
        <v>58062</v>
      </c>
      <c r="D304" t="s">
        <v>11</v>
      </c>
      <c r="E304" t="s">
        <v>10</v>
      </c>
      <c r="F304" s="4">
        <v>1876</v>
      </c>
      <c r="G304" s="2">
        <v>30527</v>
      </c>
      <c r="H304" t="s">
        <v>9</v>
      </c>
      <c r="I304" t="s">
        <v>42</v>
      </c>
      <c r="J304" t="s">
        <v>16</v>
      </c>
      <c r="K304" s="2">
        <v>41031</v>
      </c>
      <c r="L304" s="3">
        <f>DATEDIF(HR_Data[[#This Row],[DOB]],HR_Data[[#This Row],[Date of Hire]],"Y")</f>
        <v>28</v>
      </c>
      <c r="M304" s="2">
        <v>41043</v>
      </c>
      <c r="N304" s="4">
        <f>IFERROR(DATEDIF(HR_Data[[#This Row],[Date of Hire]],HR_Data[[#This Row],[Date of Termination]],"Y"),"")</f>
        <v>0</v>
      </c>
      <c r="O304" t="s">
        <v>28</v>
      </c>
      <c r="P304" t="s">
        <v>27</v>
      </c>
      <c r="Q304" t="s">
        <v>4</v>
      </c>
      <c r="R304" t="s">
        <v>38</v>
      </c>
      <c r="S304" t="s">
        <v>25</v>
      </c>
      <c r="T304" t="s">
        <v>1</v>
      </c>
      <c r="U304" s="5">
        <v>3.6</v>
      </c>
      <c r="V304" s="4">
        <v>5</v>
      </c>
      <c r="W304" s="4">
        <v>0</v>
      </c>
      <c r="X304" s="2">
        <v>40696</v>
      </c>
      <c r="Y304" s="4">
        <v>0</v>
      </c>
      <c r="Z304" s="4">
        <v>9</v>
      </c>
    </row>
    <row r="305" spans="1:26" x14ac:dyDescent="0.4">
      <c r="A305" t="s">
        <v>41</v>
      </c>
      <c r="B305" s="4">
        <v>10264</v>
      </c>
      <c r="C305" s="1">
        <v>59728</v>
      </c>
      <c r="D305" t="s">
        <v>11</v>
      </c>
      <c r="E305" t="s">
        <v>10</v>
      </c>
      <c r="F305" s="4">
        <v>2109</v>
      </c>
      <c r="G305" s="2">
        <v>25478</v>
      </c>
      <c r="H305" t="s">
        <v>9</v>
      </c>
      <c r="I305" t="s">
        <v>17</v>
      </c>
      <c r="J305" t="s">
        <v>40</v>
      </c>
      <c r="K305" s="2">
        <v>41032</v>
      </c>
      <c r="L305" s="3">
        <f>DATEDIF(HR_Data[[#This Row],[DOB]],HR_Data[[#This Row],[Date of Hire]],"Y")</f>
        <v>42</v>
      </c>
      <c r="M305" s="2">
        <v>42182</v>
      </c>
      <c r="N305" s="4">
        <f>IFERROR(DATEDIF(HR_Data[[#This Row],[Date of Hire]],HR_Data[[#This Row],[Date of Termination]],"Y"),"")</f>
        <v>3</v>
      </c>
      <c r="O305" t="s">
        <v>39</v>
      </c>
      <c r="P305" t="s">
        <v>27</v>
      </c>
      <c r="Q305" t="s">
        <v>4</v>
      </c>
      <c r="R305" t="s">
        <v>38</v>
      </c>
      <c r="S305" t="s">
        <v>37</v>
      </c>
      <c r="T305" t="s">
        <v>1</v>
      </c>
      <c r="U305" s="5">
        <v>4.3</v>
      </c>
      <c r="V305" s="4">
        <v>4</v>
      </c>
      <c r="W305" s="4">
        <v>0</v>
      </c>
      <c r="X305" s="2">
        <v>41676</v>
      </c>
      <c r="Y305" s="4">
        <v>0</v>
      </c>
      <c r="Z305" s="4">
        <v>16</v>
      </c>
    </row>
    <row r="306" spans="1:26" x14ac:dyDescent="0.4">
      <c r="A306" t="s">
        <v>36</v>
      </c>
      <c r="B306" s="4">
        <v>10033</v>
      </c>
      <c r="C306" s="1">
        <v>70507</v>
      </c>
      <c r="D306" t="s">
        <v>32</v>
      </c>
      <c r="E306" t="s">
        <v>10</v>
      </c>
      <c r="F306" s="4">
        <v>2045</v>
      </c>
      <c r="G306" s="2">
        <v>21496</v>
      </c>
      <c r="H306" t="s">
        <v>31</v>
      </c>
      <c r="I306" t="s">
        <v>17</v>
      </c>
      <c r="J306" t="s">
        <v>16</v>
      </c>
      <c r="K306" s="2">
        <v>41033</v>
      </c>
      <c r="L306" s="3">
        <f>DATEDIF(HR_Data[[#This Row],[DOB]],HR_Data[[#This Row],[Date of Hire]],"Y")</f>
        <v>53</v>
      </c>
      <c r="M306" s="2">
        <v>42421</v>
      </c>
      <c r="N306" s="4">
        <f>IFERROR(DATEDIF(HR_Data[[#This Row],[Date of Hire]],HR_Data[[#This Row],[Date of Termination]],"Y"),"")</f>
        <v>3</v>
      </c>
      <c r="O306" t="s">
        <v>35</v>
      </c>
      <c r="P306" t="s">
        <v>27</v>
      </c>
      <c r="Q306" t="s">
        <v>4</v>
      </c>
      <c r="R306" t="s">
        <v>26</v>
      </c>
      <c r="S306" t="s">
        <v>2</v>
      </c>
      <c r="T306" t="s">
        <v>20</v>
      </c>
      <c r="U306" s="5">
        <v>5</v>
      </c>
      <c r="V306" s="4">
        <v>3</v>
      </c>
      <c r="W306" s="4">
        <v>0</v>
      </c>
      <c r="X306" s="2">
        <v>42388</v>
      </c>
      <c r="Y306" s="4">
        <v>0</v>
      </c>
      <c r="Z306" s="4">
        <v>7</v>
      </c>
    </row>
    <row r="307" spans="1:26" x14ac:dyDescent="0.4">
      <c r="A307" t="s">
        <v>34</v>
      </c>
      <c r="B307" s="4">
        <v>10174</v>
      </c>
      <c r="C307" s="1">
        <v>60446</v>
      </c>
      <c r="D307" t="s">
        <v>32</v>
      </c>
      <c r="E307" t="s">
        <v>10</v>
      </c>
      <c r="F307" s="4">
        <v>2302</v>
      </c>
      <c r="G307" s="2">
        <v>31157</v>
      </c>
      <c r="H307" t="s">
        <v>9</v>
      </c>
      <c r="I307" t="s">
        <v>17</v>
      </c>
      <c r="J307" t="s">
        <v>16</v>
      </c>
      <c r="K307" s="2">
        <v>41034</v>
      </c>
      <c r="L307" s="3">
        <f>DATEDIF(HR_Data[[#This Row],[DOB]],HR_Data[[#This Row],[Date of Hire]],"Y")</f>
        <v>27</v>
      </c>
      <c r="N307" s="4" t="str">
        <f>IFERROR(DATEDIF(HR_Data[[#This Row],[Date of Hire]],HR_Data[[#This Row],[Date of Termination]],"Y"),"")</f>
        <v/>
      </c>
      <c r="O307" t="s">
        <v>6</v>
      </c>
      <c r="P307" t="s">
        <v>5</v>
      </c>
      <c r="Q307" t="s">
        <v>4</v>
      </c>
      <c r="R307" t="s">
        <v>3</v>
      </c>
      <c r="S307" t="s">
        <v>2</v>
      </c>
      <c r="T307" t="s">
        <v>1</v>
      </c>
      <c r="U307" s="5">
        <v>3.4</v>
      </c>
      <c r="V307" s="4">
        <v>4</v>
      </c>
      <c r="W307" s="4">
        <v>0</v>
      </c>
      <c r="X307" s="2">
        <v>43517</v>
      </c>
      <c r="Y307" s="4">
        <v>0</v>
      </c>
      <c r="Z307" s="4">
        <v>14</v>
      </c>
    </row>
    <row r="308" spans="1:26" x14ac:dyDescent="0.4">
      <c r="A308" t="s">
        <v>33</v>
      </c>
      <c r="B308" s="4">
        <v>10135</v>
      </c>
      <c r="C308" s="1">
        <v>65893</v>
      </c>
      <c r="D308" t="s">
        <v>32</v>
      </c>
      <c r="E308" t="s">
        <v>10</v>
      </c>
      <c r="F308" s="4">
        <v>1810</v>
      </c>
      <c r="G308" s="2">
        <v>31178</v>
      </c>
      <c r="H308" t="s">
        <v>31</v>
      </c>
      <c r="I308" t="s">
        <v>17</v>
      </c>
      <c r="J308" t="s">
        <v>16</v>
      </c>
      <c r="K308" s="2">
        <v>41035</v>
      </c>
      <c r="L308" s="3">
        <f>DATEDIF(HR_Data[[#This Row],[DOB]],HR_Data[[#This Row],[Date of Hire]],"Y")</f>
        <v>26</v>
      </c>
      <c r="N308" s="4" t="str">
        <f>IFERROR(DATEDIF(HR_Data[[#This Row],[Date of Hire]],HR_Data[[#This Row],[Date of Termination]],"Y"),"")</f>
        <v/>
      </c>
      <c r="O308" t="s">
        <v>6</v>
      </c>
      <c r="P308" t="s">
        <v>5</v>
      </c>
      <c r="Q308" t="s">
        <v>4</v>
      </c>
      <c r="R308" t="s">
        <v>30</v>
      </c>
      <c r="S308" t="s">
        <v>2</v>
      </c>
      <c r="T308" t="s">
        <v>1</v>
      </c>
      <c r="U308" s="5">
        <v>4.07</v>
      </c>
      <c r="V308" s="4">
        <v>4</v>
      </c>
      <c r="W308" s="4">
        <v>0</v>
      </c>
      <c r="X308" s="2">
        <v>43524</v>
      </c>
      <c r="Y308" s="4">
        <v>0</v>
      </c>
      <c r="Z308" s="4">
        <v>13</v>
      </c>
    </row>
    <row r="309" spans="1:26" x14ac:dyDescent="0.4">
      <c r="A309" t="s">
        <v>29</v>
      </c>
      <c r="B309" s="4">
        <v>10301</v>
      </c>
      <c r="C309" s="1">
        <v>48513</v>
      </c>
      <c r="D309" t="s">
        <v>11</v>
      </c>
      <c r="E309" t="s">
        <v>10</v>
      </c>
      <c r="F309" s="4">
        <v>2458</v>
      </c>
      <c r="G309" s="2">
        <v>30075</v>
      </c>
      <c r="H309" t="s">
        <v>9</v>
      </c>
      <c r="I309" t="s">
        <v>17</v>
      </c>
      <c r="J309" t="s">
        <v>7</v>
      </c>
      <c r="K309" s="2">
        <v>41036</v>
      </c>
      <c r="L309" s="3">
        <f>DATEDIF(HR_Data[[#This Row],[DOB]],HR_Data[[#This Row],[Date of Hire]],"Y")</f>
        <v>30</v>
      </c>
      <c r="M309" s="2">
        <v>42276</v>
      </c>
      <c r="N309" s="4">
        <f>IFERROR(DATEDIF(HR_Data[[#This Row],[Date of Hire]],HR_Data[[#This Row],[Date of Termination]],"Y"),"")</f>
        <v>3</v>
      </c>
      <c r="O309" t="s">
        <v>28</v>
      </c>
      <c r="P309" t="s">
        <v>27</v>
      </c>
      <c r="Q309" t="s">
        <v>4</v>
      </c>
      <c r="R309" t="s">
        <v>26</v>
      </c>
      <c r="S309" t="s">
        <v>25</v>
      </c>
      <c r="T309" t="s">
        <v>24</v>
      </c>
      <c r="U309" s="5">
        <v>3.2</v>
      </c>
      <c r="V309" s="4">
        <v>2</v>
      </c>
      <c r="W309" s="4">
        <v>0</v>
      </c>
      <c r="X309" s="2">
        <v>42044</v>
      </c>
      <c r="Y309" s="4">
        <v>5</v>
      </c>
      <c r="Z309" s="4">
        <v>4</v>
      </c>
    </row>
    <row r="310" spans="1:26" x14ac:dyDescent="0.4">
      <c r="A310" t="s">
        <v>23</v>
      </c>
      <c r="B310" s="4">
        <v>10010</v>
      </c>
      <c r="C310" s="1">
        <v>220450</v>
      </c>
      <c r="D310" t="s">
        <v>22</v>
      </c>
      <c r="E310" t="s">
        <v>10</v>
      </c>
      <c r="F310" s="4">
        <v>2067</v>
      </c>
      <c r="G310" s="2">
        <v>29097</v>
      </c>
      <c r="H310" t="s">
        <v>9</v>
      </c>
      <c r="I310" t="s">
        <v>17</v>
      </c>
      <c r="J310" t="s">
        <v>16</v>
      </c>
      <c r="K310" s="2">
        <v>41037</v>
      </c>
      <c r="L310" s="3">
        <f>DATEDIF(HR_Data[[#This Row],[DOB]],HR_Data[[#This Row],[Date of Hire]],"Y")</f>
        <v>32</v>
      </c>
      <c r="N310" s="4" t="str">
        <f>IFERROR(DATEDIF(HR_Data[[#This Row],[Date of Hire]],HR_Data[[#This Row],[Date of Termination]],"Y"),"")</f>
        <v/>
      </c>
      <c r="O310" t="s">
        <v>6</v>
      </c>
      <c r="P310" t="s">
        <v>5</v>
      </c>
      <c r="Q310" t="s">
        <v>15</v>
      </c>
      <c r="R310" t="s">
        <v>21</v>
      </c>
      <c r="S310" t="s">
        <v>13</v>
      </c>
      <c r="T310" t="s">
        <v>20</v>
      </c>
      <c r="U310" s="5">
        <v>4.5999999999999996</v>
      </c>
      <c r="V310" s="4">
        <v>5</v>
      </c>
      <c r="W310" s="4">
        <v>6</v>
      </c>
      <c r="X310" s="2">
        <v>43517</v>
      </c>
      <c r="Y310" s="4">
        <v>0</v>
      </c>
      <c r="Z310" s="4">
        <v>16</v>
      </c>
    </row>
    <row r="311" spans="1:26" x14ac:dyDescent="0.4">
      <c r="A311" t="s">
        <v>19</v>
      </c>
      <c r="B311" s="4">
        <v>10043</v>
      </c>
      <c r="C311" s="1">
        <v>89292</v>
      </c>
      <c r="D311" t="s">
        <v>18</v>
      </c>
      <c r="E311" t="s">
        <v>10</v>
      </c>
      <c r="F311" s="4">
        <v>2148</v>
      </c>
      <c r="G311" s="2">
        <v>28910</v>
      </c>
      <c r="H311" t="s">
        <v>9</v>
      </c>
      <c r="I311" t="s">
        <v>17</v>
      </c>
      <c r="J311" t="s">
        <v>16</v>
      </c>
      <c r="K311" s="2">
        <v>41038</v>
      </c>
      <c r="L311" s="3">
        <f>DATEDIF(HR_Data[[#This Row],[DOB]],HR_Data[[#This Row],[Date of Hire]],"Y")</f>
        <v>33</v>
      </c>
      <c r="N311" s="4" t="str">
        <f>IFERROR(DATEDIF(HR_Data[[#This Row],[Date of Hire]],HR_Data[[#This Row],[Date of Termination]],"Y"),"")</f>
        <v/>
      </c>
      <c r="O311" t="s">
        <v>6</v>
      </c>
      <c r="P311" t="s">
        <v>5</v>
      </c>
      <c r="Q311" t="s">
        <v>15</v>
      </c>
      <c r="R311" t="s">
        <v>14</v>
      </c>
      <c r="S311" t="s">
        <v>13</v>
      </c>
      <c r="T311" t="s">
        <v>1</v>
      </c>
      <c r="U311" s="5">
        <v>5</v>
      </c>
      <c r="V311" s="4">
        <v>3</v>
      </c>
      <c r="W311" s="4">
        <v>5</v>
      </c>
      <c r="X311" s="2">
        <v>43467</v>
      </c>
      <c r="Y311" s="4">
        <v>0</v>
      </c>
      <c r="Z311" s="4">
        <v>11</v>
      </c>
    </row>
    <row r="312" spans="1:26" x14ac:dyDescent="0.4">
      <c r="A312" t="s">
        <v>12</v>
      </c>
      <c r="B312" s="4">
        <v>10271</v>
      </c>
      <c r="C312" s="1">
        <v>45046</v>
      </c>
      <c r="D312" t="s">
        <v>11</v>
      </c>
      <c r="E312" t="s">
        <v>10</v>
      </c>
      <c r="F312" s="4">
        <v>1730</v>
      </c>
      <c r="G312" s="2">
        <v>28719</v>
      </c>
      <c r="H312" t="s">
        <v>9</v>
      </c>
      <c r="I312" t="s">
        <v>8</v>
      </c>
      <c r="J312" t="s">
        <v>7</v>
      </c>
      <c r="K312" s="2">
        <v>41039</v>
      </c>
      <c r="L312" s="3">
        <f>DATEDIF(HR_Data[[#This Row],[DOB]],HR_Data[[#This Row],[Date of Hire]],"Y")</f>
        <v>33</v>
      </c>
      <c r="N312" s="4" t="str">
        <f>IFERROR(DATEDIF(HR_Data[[#This Row],[Date of Hire]],HR_Data[[#This Row],[Date of Termination]],"Y"),"")</f>
        <v/>
      </c>
      <c r="O312" t="s">
        <v>6</v>
      </c>
      <c r="P312" t="s">
        <v>5</v>
      </c>
      <c r="Q312" t="s">
        <v>4</v>
      </c>
      <c r="R312" t="s">
        <v>3</v>
      </c>
      <c r="S312" t="s">
        <v>2</v>
      </c>
      <c r="T312" t="s">
        <v>1</v>
      </c>
      <c r="U312" s="5">
        <v>4.5</v>
      </c>
      <c r="V312" s="4">
        <v>5</v>
      </c>
      <c r="W312" s="4">
        <v>0</v>
      </c>
      <c r="X312" s="2">
        <v>43495</v>
      </c>
      <c r="Y312" s="4" t="s">
        <v>0</v>
      </c>
      <c r="Z312" s="4">
        <v>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Avg Emp Satisfaction Per Year</vt:lpstr>
      <vt:lpstr>Average Salary Per Year</vt:lpstr>
      <vt:lpstr>Average Salary by Department</vt:lpstr>
      <vt:lpstr>Performance By Recruitment Sour</vt:lpstr>
      <vt:lpstr>Race Ratio by Department</vt:lpstr>
      <vt:lpstr>Gender Ratio by Department</vt:lpstr>
      <vt:lpstr>Top 15 Performing Managers</vt:lpstr>
      <vt:lpstr>Average Salary by Gender</vt:lpstr>
      <vt:lpstr>Average Salary by Race</vt:lpstr>
      <vt:lpstr>Top 10 Earners</vt:lpstr>
      <vt:lpstr>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Veroneecah</dc:creator>
  <cp:lastModifiedBy>Veroneecah</cp:lastModifiedBy>
  <dcterms:created xsi:type="dcterms:W3CDTF">2025-11-13T20:59:37Z</dcterms:created>
  <dcterms:modified xsi:type="dcterms:W3CDTF">2026-01-06T03:53:57Z</dcterms:modified>
</cp:coreProperties>
</file>